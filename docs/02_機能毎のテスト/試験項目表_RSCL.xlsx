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work\projects\repos\spring-func\1.11.x\spring-functionaltest\docs\02_機能毎のテスト\"/>
    </mc:Choice>
  </mc:AlternateContent>
  <xr:revisionPtr revIDLastSave="0" documentId="13_ncr:1_{9CE071F5-5E59-4FA7-9AC6-279F556E4A65}" xr6:coauthVersionLast="47" xr6:coauthVersionMax="47" xr10:uidLastSave="{00000000-0000-0000-0000-000000000000}"/>
  <bookViews>
    <workbookView xWindow="-38520" yWindow="-1875" windowWidth="38640" windowHeight="21120" tabRatio="922" xr2:uid="{00000000-000D-0000-FFFF-FFFF00000000}"/>
  </bookViews>
  <sheets>
    <sheet name="大中項目" sheetId="1" r:id="rId1"/>
    <sheet name="RSCL01" sheetId="7" r:id="rId2"/>
    <sheet name="RSCL02" sheetId="10" r:id="rId3"/>
    <sheet name="RSCL03" sheetId="12" r:id="rId4"/>
    <sheet name="RSCL04" sheetId="14" r:id="rId5"/>
    <sheet name="RSCL05" sheetId="15" r:id="rId6"/>
    <sheet name="RSCL06" sheetId="18" r:id="rId7"/>
    <sheet name="RSCL07" sheetId="26" r:id="rId8"/>
    <sheet name="RSCL08" sheetId="27" r:id="rId9"/>
    <sheet name="RSCL09" sheetId="19" r:id="rId10"/>
    <sheet name="RSCL10" sheetId="20" r:id="rId11"/>
    <sheet name="RSCL11" sheetId="21" r:id="rId12"/>
    <sheet name="RSCL12" sheetId="22" r:id="rId13"/>
    <sheet name="RSCL13" sheetId="23" r:id="rId14"/>
    <sheet name="RSCL14" sheetId="16" r:id="rId15"/>
    <sheet name="RSCL14の試験内容図" sheetId="25" r:id="rId16"/>
    <sheet name="RSCL16" sheetId="24" r:id="rId17"/>
    <sheet name="RSCL17" sheetId="28" r:id="rId18"/>
    <sheet name="RSCL18" sheetId="29" r:id="rId19"/>
    <sheet name="RSCL19" sheetId="30" r:id="rId20"/>
    <sheet name="RSCL48" sheetId="59" r:id="rId21"/>
    <sheet name="RSCL49" sheetId="60" r:id="rId22"/>
    <sheet name="RSCL50" sheetId="61" r:id="rId23"/>
  </sheets>
  <definedNames>
    <definedName name="_xlnm.Print_Titles" localSheetId="1">RSCL01!$1:$8</definedName>
    <definedName name="_xlnm.Print_Titles" localSheetId="2">RSCL02!$1:$8</definedName>
    <definedName name="_xlnm.Print_Titles" localSheetId="3">RSCL03!$1:$8</definedName>
    <definedName name="_xlnm.Print_Titles" localSheetId="4">RSCL04!$1:$8</definedName>
    <definedName name="_xlnm.Print_Titles" localSheetId="5">RSCL05!$1:$8</definedName>
    <definedName name="_xlnm.Print_Titles" localSheetId="6">RSCL06!$1:$8</definedName>
    <definedName name="_xlnm.Print_Titles" localSheetId="7">RSCL07!$1:$8</definedName>
    <definedName name="_xlnm.Print_Titles" localSheetId="8">RSCL08!$1:$8</definedName>
    <definedName name="_xlnm.Print_Titles" localSheetId="9">RSCL09!$1:$8</definedName>
    <definedName name="_xlnm.Print_Titles" localSheetId="10">RSCL10!$1:$8</definedName>
    <definedName name="_xlnm.Print_Titles" localSheetId="11">RSCL11!$1:$8</definedName>
    <definedName name="_xlnm.Print_Titles" localSheetId="12">RSCL12!$1:$8</definedName>
    <definedName name="_xlnm.Print_Titles" localSheetId="13">RSCL13!$1:$8</definedName>
    <definedName name="_xlnm.Print_Titles" localSheetId="14">RSCL14!$1:$8</definedName>
    <definedName name="_xlnm.Print_Titles" localSheetId="16">RSCL16!$1:$8</definedName>
    <definedName name="_xlnm.Print_Titles" localSheetId="17">RSCL17!$1:$8</definedName>
    <definedName name="_xlnm.Print_Titles" localSheetId="18">RSCL18!$1:$8</definedName>
    <definedName name="_xlnm.Print_Titles" localSheetId="19">RSCL19!$1:$8</definedName>
    <definedName name="_xlnm.Print_Titles" localSheetId="20">RSCL48!$1:$8</definedName>
    <definedName name="_xlnm.Print_Titles" localSheetId="21">RSCL49!$1:$8</definedName>
    <definedName name="_xlnm.Print_Titles" localSheetId="22">RSCL50!$1:$8</definedName>
    <definedName name="_xlnm.Print_Titles" localSheetId="0">大中項目!$1:$4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15" l="1"/>
  <c r="B21" i="15"/>
  <c r="B20" i="15"/>
  <c r="B19" i="15"/>
  <c r="C38" i="1"/>
  <c r="C37" i="1"/>
  <c r="A37" i="1"/>
  <c r="A36" i="1"/>
  <c r="A34" i="1"/>
  <c r="B10" i="28"/>
  <c r="B14" i="20"/>
  <c r="B12" i="20"/>
  <c r="B10" i="61"/>
  <c r="B9" i="61"/>
  <c r="D3" i="61"/>
  <c r="E2" i="61" a="1"/>
  <c r="E2" i="61" s="1"/>
  <c r="D2" i="61"/>
  <c r="C2" i="61"/>
  <c r="B15" i="60"/>
  <c r="B14" i="60"/>
  <c r="B13" i="60"/>
  <c r="B12" i="60"/>
  <c r="B11" i="60"/>
  <c r="B10" i="60"/>
  <c r="B9" i="60"/>
  <c r="D3" i="60"/>
  <c r="E2" i="60" a="1"/>
  <c r="E2" i="60" s="1"/>
  <c r="D2" i="60"/>
  <c r="C2" i="60"/>
  <c r="B10" i="59"/>
  <c r="B9" i="59"/>
  <c r="D3" i="59"/>
  <c r="E2" i="59" a="1"/>
  <c r="E2" i="59" s="1"/>
  <c r="D2" i="59"/>
  <c r="C2" i="59"/>
  <c r="B11" i="30"/>
  <c r="B10" i="30"/>
  <c r="B9" i="30"/>
  <c r="D3" i="30"/>
  <c r="E2" i="30" a="1"/>
  <c r="E2" i="30" s="1"/>
  <c r="D2" i="30"/>
  <c r="C2" i="30"/>
  <c r="B10" i="29"/>
  <c r="B9" i="29"/>
  <c r="D3" i="29"/>
  <c r="E2" i="29" a="1"/>
  <c r="E2" i="29" s="1"/>
  <c r="D2" i="29"/>
  <c r="C2" i="29"/>
  <c r="B9" i="28"/>
  <c r="D3" i="28"/>
  <c r="E2" i="28" a="1"/>
  <c r="E2" i="28" s="1"/>
  <c r="D2" i="28"/>
  <c r="C2" i="28"/>
  <c r="B11" i="22"/>
  <c r="B13" i="20"/>
  <c r="B11" i="20"/>
  <c r="B10" i="20"/>
  <c r="B10" i="27"/>
  <c r="B9" i="27"/>
  <c r="D3" i="27"/>
  <c r="E2" i="27" a="1"/>
  <c r="E2" i="27" s="1"/>
  <c r="D2" i="27"/>
  <c r="C2" i="27"/>
  <c r="B11" i="26"/>
  <c r="B10" i="26"/>
  <c r="B9" i="26"/>
  <c r="D3" i="26"/>
  <c r="E2" i="26" a="1"/>
  <c r="E2" i="26" s="1"/>
  <c r="D2" i="26"/>
  <c r="C2" i="26"/>
  <c r="B24" i="15"/>
  <c r="B23" i="15"/>
  <c r="B18" i="15"/>
  <c r="B17" i="15"/>
  <c r="B16" i="15"/>
  <c r="B15" i="15"/>
  <c r="B14" i="15"/>
  <c r="B13" i="15"/>
  <c r="B12" i="15"/>
  <c r="B11" i="15"/>
  <c r="B15" i="14"/>
  <c r="A76" i="1"/>
  <c r="A78" i="1"/>
  <c r="A79" i="1"/>
  <c r="A80" i="1"/>
  <c r="A81" i="1"/>
  <c r="A82" i="1"/>
  <c r="A83" i="1"/>
  <c r="A85" i="1"/>
  <c r="A65" i="1"/>
  <c r="A72" i="1"/>
  <c r="A70" i="1"/>
  <c r="C70" i="1" s="1"/>
  <c r="A68" i="1"/>
  <c r="A66" i="1"/>
  <c r="A59" i="1" l="1"/>
  <c r="A58" i="1"/>
  <c r="A47" i="1"/>
  <c r="A46" i="1"/>
  <c r="A44" i="1"/>
  <c r="A41" i="1"/>
  <c r="A40" i="1"/>
  <c r="A24" i="1"/>
  <c r="A17" i="1"/>
  <c r="A15" i="1"/>
  <c r="C15" i="1" s="1"/>
  <c r="A7" i="1"/>
  <c r="D3" i="18"/>
  <c r="E2" i="18" a="1"/>
  <c r="E2" i="18" s="1"/>
  <c r="D2" i="18"/>
  <c r="C2" i="18"/>
  <c r="D3" i="19"/>
  <c r="E2" i="19" a="1"/>
  <c r="E2" i="19" s="1"/>
  <c r="D2" i="19"/>
  <c r="C2" i="19"/>
  <c r="D3" i="20"/>
  <c r="E2" i="20" a="1"/>
  <c r="E2" i="20" s="1"/>
  <c r="D2" i="20"/>
  <c r="C2" i="20"/>
  <c r="D3" i="21"/>
  <c r="E2" i="21" a="1"/>
  <c r="E2" i="21" s="1"/>
  <c r="D2" i="21"/>
  <c r="C2" i="21"/>
  <c r="D3" i="22"/>
  <c r="E2" i="22" a="1"/>
  <c r="E2" i="22" s="1"/>
  <c r="D2" i="22"/>
  <c r="C2" i="22"/>
  <c r="D3" i="23"/>
  <c r="E2" i="23" a="1"/>
  <c r="E2" i="23" s="1"/>
  <c r="D2" i="23"/>
  <c r="C2" i="23"/>
  <c r="D3" i="24"/>
  <c r="E2" i="24" a="1"/>
  <c r="E2" i="24" s="1"/>
  <c r="D2" i="24"/>
  <c r="C2" i="24"/>
  <c r="D3" i="12"/>
  <c r="E2" i="12" a="1"/>
  <c r="E2" i="12" s="1"/>
  <c r="D2" i="12"/>
  <c r="C2" i="12"/>
  <c r="D3" i="14"/>
  <c r="E2" i="14" a="1"/>
  <c r="E2" i="14" s="1"/>
  <c r="D2" i="14"/>
  <c r="C2" i="14"/>
  <c r="D3" i="15"/>
  <c r="E2" i="15" a="1"/>
  <c r="E2" i="15" s="1"/>
  <c r="D2" i="15"/>
  <c r="C2" i="15"/>
  <c r="D3" i="16"/>
  <c r="E2" i="16" a="1"/>
  <c r="E2" i="16" s="1"/>
  <c r="D2" i="16"/>
  <c r="C2" i="16"/>
  <c r="D3" i="10"/>
  <c r="E2" i="10" a="1"/>
  <c r="E2" i="10" s="1"/>
  <c r="D2" i="10"/>
  <c r="C2" i="10"/>
  <c r="E2" i="7" a="1"/>
  <c r="E2" i="7" s="1"/>
  <c r="B14" i="16"/>
  <c r="B13" i="16"/>
  <c r="B12" i="16"/>
  <c r="B11" i="16"/>
  <c r="B10" i="16" l="1"/>
  <c r="A45" i="1"/>
  <c r="A5" i="1"/>
  <c r="E3" i="7" l="1"/>
  <c r="C46" i="1"/>
  <c r="C47" i="1" s="1"/>
  <c r="C48" i="1" s="1"/>
  <c r="C49" i="1" s="1"/>
  <c r="C50" i="1" s="1"/>
  <c r="C51" i="1" s="1"/>
  <c r="B9" i="20" l="1"/>
  <c r="B9" i="18"/>
  <c r="B9" i="15"/>
  <c r="B9" i="19"/>
  <c r="B9" i="23"/>
  <c r="B9" i="22"/>
  <c r="B9" i="21"/>
  <c r="B9" i="24"/>
  <c r="B9" i="16"/>
  <c r="B10" i="24"/>
  <c r="B10" i="15" l="1"/>
  <c r="B10" i="21"/>
  <c r="B10" i="22"/>
  <c r="B10" i="12" l="1"/>
  <c r="B9" i="12"/>
  <c r="B9" i="10"/>
  <c r="B13" i="10"/>
  <c r="B12" i="10"/>
  <c r="B11" i="10"/>
  <c r="B9" i="7"/>
  <c r="B10" i="10"/>
  <c r="B14" i="10"/>
  <c r="B15" i="10" s="1"/>
  <c r="B16" i="10"/>
  <c r="B9" i="14"/>
  <c r="B10" i="14" s="1"/>
  <c r="B11" i="14" s="1"/>
  <c r="B12" i="14"/>
  <c r="B13" i="14" s="1"/>
  <c r="B14" i="14" s="1"/>
  <c r="A52" i="1" l="1"/>
  <c r="C52" i="1" s="1"/>
  <c r="A32" i="1"/>
  <c r="A29" i="1"/>
  <c r="A18" i="1"/>
  <c r="A30" i="1" l="1"/>
  <c r="A55" i="1"/>
  <c r="A54" i="1"/>
  <c r="A53" i="1"/>
  <c r="C53" i="1" s="1"/>
  <c r="C54" i="1" l="1"/>
  <c r="C55" i="1" s="1"/>
  <c r="A43" i="1"/>
  <c r="A56" i="1"/>
  <c r="C56" i="1" l="1"/>
  <c r="C57" i="1" s="1"/>
  <c r="C58" i="1" s="1"/>
  <c r="C59" i="1" s="1"/>
  <c r="C60" i="1" s="1"/>
  <c r="C61" i="1" s="1"/>
  <c r="C62" i="1" s="1"/>
  <c r="C63" i="1" s="1"/>
  <c r="C64" i="1" s="1"/>
  <c r="C66" i="1" s="1"/>
  <c r="C67" i="1" s="1"/>
  <c r="C68" i="1" s="1"/>
  <c r="C71" i="1" l="1"/>
  <c r="C72" i="1" s="1"/>
  <c r="C73" i="1" s="1"/>
  <c r="C74" i="1" s="1"/>
  <c r="C69" i="1"/>
  <c r="C44" i="1"/>
  <c r="C45" i="1" s="1"/>
  <c r="D3" i="7"/>
  <c r="D2" i="7"/>
  <c r="C2" i="7"/>
  <c r="A6" i="1" l="1"/>
  <c r="A42" i="1"/>
  <c r="A33" i="1"/>
  <c r="C2" i="1" a="1"/>
  <c r="C2" i="1" l="1"/>
  <c r="E3" i="59"/>
  <c r="E3" i="61"/>
  <c r="E3" i="60"/>
  <c r="E3" i="28"/>
  <c r="E3" i="29"/>
  <c r="E3" i="30"/>
  <c r="E3" i="26"/>
  <c r="E3" i="27"/>
  <c r="E3" i="14"/>
  <c r="E3" i="16"/>
  <c r="E3" i="18"/>
  <c r="E3" i="22"/>
  <c r="E3" i="23"/>
  <c r="E3" i="21"/>
  <c r="E3" i="15"/>
  <c r="E3" i="12"/>
  <c r="E3" i="20"/>
  <c r="E3" i="19"/>
  <c r="E3" i="10"/>
  <c r="E3" i="24"/>
  <c r="C5" i="1"/>
  <c r="B10" i="7"/>
  <c r="C6" i="1" l="1"/>
  <c r="C7" i="1" s="1"/>
  <c r="C8" i="1" s="1"/>
  <c r="C9" i="1" s="1"/>
  <c r="C10" i="1" s="1"/>
  <c r="C11" i="1" s="1"/>
  <c r="C12" i="1" s="1"/>
  <c r="C13" i="1" s="1"/>
  <c r="C14" i="1" s="1"/>
  <c r="C16" i="1" s="1"/>
  <c r="C17" i="1" s="1"/>
  <c r="C18" i="1" s="1"/>
  <c r="C19" i="1" s="1"/>
  <c r="C20" i="1" s="1"/>
  <c r="C21" i="1" s="1"/>
  <c r="C22" i="1" s="1"/>
  <c r="C23" i="1" s="1"/>
  <c r="C24" i="1" s="1"/>
  <c r="C25" i="1" s="1"/>
  <c r="C26" i="1" s="1"/>
  <c r="C27" i="1" s="1"/>
  <c r="C28" i="1" s="1"/>
  <c r="C29" i="1" s="1"/>
  <c r="C30" i="1" s="1"/>
  <c r="C31" i="1" s="1"/>
  <c r="C32" i="1" s="1"/>
  <c r="C33" i="1" s="1"/>
  <c r="C39" i="1" l="1"/>
  <c r="C40" i="1" s="1"/>
  <c r="C41" i="1" s="1"/>
  <c r="C42" i="1" s="1"/>
  <c r="C43" i="1" s="1"/>
  <c r="C34" i="1"/>
  <c r="C35" i="1" s="1"/>
  <c r="C3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<sst xmlns="http://schemas.openxmlformats.org/spreadsheetml/2006/main" count="1166" uniqueCount="474">
  <si>
    <t>機能ID</t>
    <rPh sb="0" eb="2">
      <t>キノウ</t>
    </rPh>
    <phoneticPr fontId="2"/>
  </si>
  <si>
    <t>機能名</t>
    <rPh sb="0" eb="3">
      <t>キノウメイ</t>
    </rPh>
    <phoneticPr fontId="2"/>
  </si>
  <si>
    <t>大項目ID</t>
    <rPh sb="0" eb="3">
      <t>ダイコウモク</t>
    </rPh>
    <phoneticPr fontId="2"/>
  </si>
  <si>
    <t>大項目</t>
    <rPh sb="0" eb="3">
      <t>ダイコウモク</t>
    </rPh>
    <phoneticPr fontId="2"/>
  </si>
  <si>
    <t>中項目ID</t>
    <rPh sb="0" eb="3">
      <t>チュウコウモク</t>
    </rPh>
    <phoneticPr fontId="2"/>
  </si>
  <si>
    <t>中項目</t>
    <rPh sb="0" eb="3">
      <t>チュウコウモク</t>
    </rPh>
    <phoneticPr fontId="2"/>
  </si>
  <si>
    <t>試験項目表</t>
    <rPh sb="0" eb="2">
      <t>シケン</t>
    </rPh>
    <rPh sb="2" eb="4">
      <t>コウモク</t>
    </rPh>
    <phoneticPr fontId="8"/>
  </si>
  <si>
    <t>件数</t>
    <rPh sb="0" eb="2">
      <t>ケンスウ</t>
    </rPh>
    <phoneticPr fontId="8"/>
  </si>
  <si>
    <t>機能ID/機能名</t>
    <rPh sb="0" eb="2">
      <t>キノウ</t>
    </rPh>
    <rPh sb="5" eb="7">
      <t>キノウ</t>
    </rPh>
    <rPh sb="7" eb="8">
      <t>メイ</t>
    </rPh>
    <phoneticPr fontId="8"/>
  </si>
  <si>
    <t>大項目ID/大項目名</t>
    <rPh sb="0" eb="3">
      <t>ダイコウモク</t>
    </rPh>
    <rPh sb="6" eb="9">
      <t>ダイコウモク</t>
    </rPh>
    <rPh sb="9" eb="10">
      <t>メイ</t>
    </rPh>
    <phoneticPr fontId="8"/>
  </si>
  <si>
    <t>作成者/作成日</t>
    <phoneticPr fontId="8"/>
  </si>
  <si>
    <t>更新者/更新日</t>
    <rPh sb="0" eb="3">
      <t>コウシンシャ</t>
    </rPh>
    <rPh sb="4" eb="7">
      <t>コウシンビ</t>
    </rPh>
    <phoneticPr fontId="8"/>
  </si>
  <si>
    <t>レビュー実施者/
レビュー日</t>
    <rPh sb="13" eb="14">
      <t>ビ</t>
    </rPh>
    <phoneticPr fontId="8"/>
  </si>
  <si>
    <t>特記事項</t>
    <rPh sb="0" eb="2">
      <t>トッキ</t>
    </rPh>
    <rPh sb="2" eb="4">
      <t>ジコウ</t>
    </rPh>
    <phoneticPr fontId="8"/>
  </si>
  <si>
    <t>特になし</t>
    <rPh sb="0" eb="1">
      <t>トク</t>
    </rPh>
    <phoneticPr fontId="2"/>
  </si>
  <si>
    <t>分類</t>
    <rPh sb="0" eb="2">
      <t>ブンルイ</t>
    </rPh>
    <phoneticPr fontId="2"/>
  </si>
  <si>
    <t>試験項目</t>
    <rPh sb="0" eb="2">
      <t>シケン</t>
    </rPh>
    <rPh sb="2" eb="4">
      <t>コウモク</t>
    </rPh>
    <phoneticPr fontId="2"/>
  </si>
  <si>
    <t>試験条件</t>
    <rPh sb="0" eb="2">
      <t>シケン</t>
    </rPh>
    <rPh sb="2" eb="4">
      <t>ジョウケン</t>
    </rPh>
    <phoneticPr fontId="2"/>
  </si>
  <si>
    <t>確認内容</t>
    <rPh sb="0" eb="2">
      <t>カクニン</t>
    </rPh>
    <rPh sb="2" eb="4">
      <t>ナイヨウ</t>
    </rPh>
    <phoneticPr fontId="2"/>
  </si>
  <si>
    <t>確認方法</t>
    <rPh sb="0" eb="2">
      <t>カクニン</t>
    </rPh>
    <rPh sb="2" eb="4">
      <t>ホウホウ</t>
    </rPh>
    <phoneticPr fontId="2"/>
  </si>
  <si>
    <t>大中項目へ</t>
    <rPh sb="0" eb="2">
      <t>ダイチュウ</t>
    </rPh>
    <rPh sb="2" eb="4">
      <t>コウモク</t>
    </rPh>
    <phoneticPr fontId="2"/>
  </si>
  <si>
    <t>Case
ID</t>
    <phoneticPr fontId="2"/>
  </si>
  <si>
    <t>試験条件詳細【事前条件】</t>
    <rPh sb="7" eb="9">
      <t>ジゼン</t>
    </rPh>
    <rPh sb="9" eb="11">
      <t>ジョウケン</t>
    </rPh>
    <phoneticPr fontId="8"/>
  </si>
  <si>
    <t>試験条件詳細【実施条件】</t>
    <phoneticPr fontId="8"/>
  </si>
  <si>
    <t>正常</t>
  </si>
  <si>
    <t>総件数</t>
    <rPh sb="0" eb="3">
      <t>ソウケンスウ</t>
    </rPh>
    <phoneticPr fontId="2"/>
  </si>
  <si>
    <t>RESTクライアント</t>
    <phoneticPr fontId="2"/>
  </si>
  <si>
    <t>RSCL</t>
    <phoneticPr fontId="2"/>
  </si>
  <si>
    <t>RSCL0101</t>
    <phoneticPr fontId="2"/>
  </si>
  <si>
    <t>RSCL0102</t>
  </si>
  <si>
    <t>ByteArrayHttpMessageConverterを利用した変換</t>
    <rPh sb="30" eb="32">
      <t>リヨウ</t>
    </rPh>
    <rPh sb="34" eb="36">
      <t>ヘンカン</t>
    </rPh>
    <phoneticPr fontId="2"/>
  </si>
  <si>
    <t>ResourceHttpMessageConverterを利用した変換</t>
    <phoneticPr fontId="2"/>
  </si>
  <si>
    <t>RSCL0206</t>
  </si>
  <si>
    <t>RSCL0202</t>
  </si>
  <si>
    <t>AllEncompassingFormHttpMessageConverterを利用した変換（メディアタイプがmultipart/form-dataの場合）</t>
    <phoneticPr fontId="2"/>
  </si>
  <si>
    <t>RSCL0401</t>
  </si>
  <si>
    <t>RSCL0403</t>
  </si>
  <si>
    <t>RSCL0404</t>
  </si>
  <si>
    <t>RSCL0402</t>
  </si>
  <si>
    <t>RSCL0501</t>
  </si>
  <si>
    <t>RSCL0502</t>
  </si>
  <si>
    <t>RSCL1001</t>
  </si>
  <si>
    <t>RSCL0406</t>
  </si>
  <si>
    <t>RSCL0301</t>
  </si>
  <si>
    <t>RSCL0302</t>
  </si>
  <si>
    <t>RSCL0405</t>
  </si>
  <si>
    <t>RSCL1102</t>
  </si>
  <si>
    <t>RSCL1101</t>
  </si>
  <si>
    <t>RSCL0901</t>
  </si>
  <si>
    <t>RSCL1201</t>
  </si>
  <si>
    <t>RSCL1202</t>
  </si>
  <si>
    <t>RSCL1301</t>
  </si>
  <si>
    <t>Jaxb2RootElementHttpMessageConverterを利用した変換</t>
    <phoneticPr fontId="2"/>
  </si>
  <si>
    <t>RSCL0201</t>
    <phoneticPr fontId="2"/>
  </si>
  <si>
    <t>StringHttpMessageConverterを利用した変換</t>
    <phoneticPr fontId="2"/>
  </si>
  <si>
    <t>RSCL0203</t>
    <phoneticPr fontId="2"/>
  </si>
  <si>
    <t>RSCL0204</t>
    <phoneticPr fontId="2"/>
  </si>
  <si>
    <t>SourceHttpMessageConverterを利用した変換</t>
    <phoneticPr fontId="2"/>
  </si>
  <si>
    <t>RSCL0205</t>
    <phoneticPr fontId="2"/>
  </si>
  <si>
    <t>-</t>
    <phoneticPr fontId="2"/>
  </si>
  <si>
    <t>サーバーエラー</t>
  </si>
  <si>
    <t>クライアントエラー</t>
  </si>
  <si>
    <t xml:space="preserve">REST APIを呼び出し、Byte配列を送受信することで、ByteArrayHttpMessageConverterが適用されたことを確認する。
</t>
    <rPh sb="21" eb="24">
      <t>ソウジュシン</t>
    </rPh>
    <rPh sb="60" eb="62">
      <t>テキヨウ</t>
    </rPh>
    <rPh sb="68" eb="70">
      <t>カクニン</t>
    </rPh>
    <phoneticPr fontId="2"/>
  </si>
  <si>
    <t xml:space="preserve">REST APIを呼び出し、文字列を送受信することで、StringHttpMessageConverterが適用されたことを確認する。
</t>
    <rPh sb="14" eb="16">
      <t>モジ</t>
    </rPh>
    <rPh sb="18" eb="21">
      <t>ソウジュシン</t>
    </rPh>
    <phoneticPr fontId="2"/>
  </si>
  <si>
    <t xml:space="preserve">REST APIを呼び出し、Resourceを送受信することで、ResourceHttpMessageConverterが適用されたことを確認する。
</t>
    <rPh sb="23" eb="26">
      <t>ソウジュシン</t>
    </rPh>
    <phoneticPr fontId="2"/>
  </si>
  <si>
    <t xml:space="preserve">REST APIを呼び出し、Sourceを送受信することで、SourceHttpMessageConverterが適用されたことを確認する。
</t>
    <rPh sb="21" eb="24">
      <t>ソウジュシン</t>
    </rPh>
    <phoneticPr fontId="2"/>
  </si>
  <si>
    <t xml:space="preserve">REST APIを呼び出し、MultiValueMap&lt;String, String&gt;を送受信することで、AllEncompassingFormHttpMessageConverterが適用されたことを確認する。
</t>
    <rPh sb="44" eb="47">
      <t>ソウジュシン</t>
    </rPh>
    <phoneticPr fontId="2"/>
  </si>
  <si>
    <t xml:space="preserve">REST APIを呼び出し、XMLでJavaBeanの送受信を行うことで、Jaxb2RootElementHttpMessageConverterが適用されたことを確認する。
</t>
    <rPh sb="27" eb="30">
      <t>ソウジュシン</t>
    </rPh>
    <rPh sb="31" eb="32">
      <t>オコナ</t>
    </rPh>
    <phoneticPr fontId="2"/>
  </si>
  <si>
    <t>AllEncompassingFormHttpMessageConverterを利用した変換（メディアタイプがapplication/x-www-form-urlencodedの場合）</t>
    <phoneticPr fontId="2"/>
  </si>
  <si>
    <t xml:space="preserve">RestTemplateを使用して、HTTPS接続でREST APIを呼び出し、JavaBeanを取得する。
</t>
    <rPh sb="23" eb="25">
      <t>セツゾク</t>
    </rPh>
    <rPh sb="35" eb="36">
      <t>ヨ</t>
    </rPh>
    <rPh sb="37" eb="38">
      <t>ダ</t>
    </rPh>
    <rPh sb="49" eb="51">
      <t>シュトク</t>
    </rPh>
    <phoneticPr fontId="2"/>
  </si>
  <si>
    <t>【自己証明書作成＆登録手順】</t>
  </si>
  <si>
    <t xml:space="preserve"># ①有効期限100年のキーストア作成。キーストアファイル名「rscltest.ks」
keytool -genkey -alias rscltest -keypass pass123 -validity 36500 -keystore rscltest.ks -storepass pass123 -dname "cn=localhost, ou=rscltest, o=rscltest, c=JP"
# ②上記で作成したキーストア「rscltest.ks」から証明書をエクスポート。証明書名「rsclserver.cer」
keytool -export -alias rscltest -storepass pass123 -file rsclserver.cer -keystore rscltest.ks
# ③上記でエクスポートした証明書「rsclserver.cer」を、Javaのデフォルトのキーストアに登録。Javaのキーストアファイル名「cacerts」
keytool -importcert -alias rscltest -file rsclserver.cer -keystore "%JAVA_HOME%\jre\lib\security\cacerts" -storepass changeit -keypass pass123
# 補足
# Javaのキーストア「cacerts」に登録されている証明書の一覧出力
keytool -list -v -keystore "%JAVA_HOME%\jre\lib\security\cacerts" -storepass changeit
# Javaのキーストア「cacerts」から特定の証明書（この例だと、aliasがrscltestのもの）を削除
keytool -delete -alias rscltest -keystore "%JAVA_HOME%\jre\lib\security\cacerts" -storepass changeit
</t>
    <rPh sb="3" eb="5">
      <t>ユウコウ</t>
    </rPh>
    <rPh sb="5" eb="7">
      <t>キゲン</t>
    </rPh>
    <rPh sb="10" eb="11">
      <t>ネン</t>
    </rPh>
    <rPh sb="17" eb="19">
      <t>サクセイ</t>
    </rPh>
    <rPh sb="29" eb="30">
      <t>メイ</t>
    </rPh>
    <rPh sb="207" eb="209">
      <t>ジョウキ</t>
    </rPh>
    <rPh sb="210" eb="212">
      <t>サクセイ</t>
    </rPh>
    <rPh sb="234" eb="237">
      <t>ショウメイショ</t>
    </rPh>
    <rPh sb="245" eb="248">
      <t>ショウメイショ</t>
    </rPh>
    <rPh sb="248" eb="249">
      <t>メイ</t>
    </rPh>
    <rPh sb="364" eb="366">
      <t>ジョウキ</t>
    </rPh>
    <rPh sb="375" eb="378">
      <t>ショウメイショ</t>
    </rPh>
    <rPh sb="413" eb="415">
      <t>トウロク</t>
    </rPh>
    <rPh sb="430" eb="431">
      <t>メイ</t>
    </rPh>
    <rPh sb="590" eb="592">
      <t>ホソク</t>
    </rPh>
    <rPh sb="615" eb="617">
      <t>トウロク</t>
    </rPh>
    <rPh sb="622" eb="625">
      <t>ショウメイショ</t>
    </rPh>
    <rPh sb="626" eb="628">
      <t>イチラン</t>
    </rPh>
    <rPh sb="628" eb="630">
      <t>シュツリョク</t>
    </rPh>
    <rPh sb="741" eb="743">
      <t>トクテイ</t>
    </rPh>
    <rPh sb="744" eb="747">
      <t>ショウメイショ</t>
    </rPh>
    <rPh sb="750" eb="751">
      <t>レイ</t>
    </rPh>
    <rPh sb="773" eb="775">
      <t>サクジョ</t>
    </rPh>
    <phoneticPr fontId="2"/>
  </si>
  <si>
    <t>RSCL1402</t>
    <phoneticPr fontId="2"/>
  </si>
  <si>
    <t>RSCL1401</t>
    <phoneticPr fontId="2"/>
  </si>
  <si>
    <t>Selenium:○</t>
  </si>
  <si>
    <t>setMaxConnPerRouteメソッドの動作確認</t>
    <phoneticPr fontId="2"/>
  </si>
  <si>
    <t>setConnectTimeoutメソッドの動作確認</t>
    <phoneticPr fontId="2"/>
  </si>
  <si>
    <t>setResponseTimeoutメソッドの動作確認</t>
    <phoneticPr fontId="2"/>
  </si>
  <si>
    <t>setMaxConnPerRouteメソッドの動作確認をする。</t>
    <phoneticPr fontId="2"/>
  </si>
  <si>
    <t>setMaxConnPerRoute/setMaxConnTotalメソッドの動作確認をする。</t>
    <phoneticPr fontId="2"/>
  </si>
  <si>
    <t>setConnectTimeoutメソッドの動作確認をする。</t>
    <phoneticPr fontId="2"/>
  </si>
  <si>
    <t>setResponseTimeoutメソッドの動作確認をする。</t>
    <phoneticPr fontId="2"/>
  </si>
  <si>
    <t>①取得したJavaBeanが以下と同値であること。
　Userオブジェクト
　　name = "test"
　　age = 20
②id="screenTitle"のタグの値が以下であること。
　"RESTクライアント処理結果【ユーザ情報出力】"</t>
    <rPh sb="1" eb="3">
      <t>シュトク</t>
    </rPh>
    <rPh sb="14" eb="16">
      <t>イカ</t>
    </rPh>
    <rPh sb="17" eb="19">
      <t>ドウチ</t>
    </rPh>
    <rPh sb="86" eb="87">
      <t>アタイ</t>
    </rPh>
    <rPh sb="88" eb="90">
      <t>イカ</t>
    </rPh>
    <phoneticPr fontId="2"/>
  </si>
  <si>
    <t>setMaxConnTotalメソッドの動作確認</t>
    <phoneticPr fontId="2"/>
  </si>
  <si>
    <t>①ブラウザ1/2において取得したJavaBeanが以下と同値であること。
　Userオブジェクト
　　name = "test"
　　age = 20
②id="screenTitle"のタグの値が以下であること。
　"RESTクライアント処理結果【ユーザ情報出力】"
③処理時間が、先行処理が6秒前後、後続処理が12秒前後となること</t>
    <rPh sb="12" eb="14">
      <t>シュトク</t>
    </rPh>
    <rPh sb="25" eb="27">
      <t>イカ</t>
    </rPh>
    <rPh sb="28" eb="30">
      <t>ドウチ</t>
    </rPh>
    <rPh sb="136" eb="140">
      <t>ショリジカン</t>
    </rPh>
    <rPh sb="142" eb="146">
      <t>センコウショリ</t>
    </rPh>
    <rPh sb="148" eb="149">
      <t>ビョウ</t>
    </rPh>
    <rPh sb="149" eb="151">
      <t>ゼンゴ</t>
    </rPh>
    <rPh sb="152" eb="154">
      <t>コウゾク</t>
    </rPh>
    <rPh sb="154" eb="156">
      <t>ショリ</t>
    </rPh>
    <rPh sb="159" eb="160">
      <t>ビョウ</t>
    </rPh>
    <rPh sb="160" eb="162">
      <t>ゼンゴ</t>
    </rPh>
    <phoneticPr fontId="2"/>
  </si>
  <si>
    <t xml:space="preserve">①ブラウザ1/2/3において取得したJavaBeanが以下と同値であること。
　Userオブジェクト
　　name = "test"
　　age = 20
②id="screenTitle"のタグの値が以下であること。
　"RESTクライアント処理結果【ユーザ情報出力】"
③処理時間が、先行処理が6秒前後、後続処理が12秒前後となること
</t>
    <rPh sb="14" eb="16">
      <t>シュトク</t>
    </rPh>
    <rPh sb="27" eb="29">
      <t>イカ</t>
    </rPh>
    <rPh sb="30" eb="32">
      <t>ドウチ</t>
    </rPh>
    <phoneticPr fontId="2"/>
  </si>
  <si>
    <t>①システムエラー画面に遷移していること。
　・h1タグとtitleタグの値が"System Error!"であること。
　・以下のログが出力されていること。
　　・出力元のロガー名のパターン："org.terasoluna.gfw.common.exception.ExceptionLogger.Monitoring"
　　・メッセージのパターン："[e.sf.fw.9001]..* failed: Connect timed out"
　・スタックトレースに以下の例外が出力されていること
　　・"jorg.apache.hc.client5.http.ConnectTimeoutException"</t>
    <rPh sb="8" eb="10">
      <t>ガメン</t>
    </rPh>
    <rPh sb="11" eb="13">
      <t>センイ</t>
    </rPh>
    <rPh sb="36" eb="37">
      <t>アタイ</t>
    </rPh>
    <rPh sb="62" eb="64">
      <t>イカ</t>
    </rPh>
    <rPh sb="68" eb="70">
      <t>シュツリョク</t>
    </rPh>
    <phoneticPr fontId="2"/>
  </si>
  <si>
    <t>①取得したJavaBeanが以下と同値であること。
　Userオブジェクト
　　name = "test"
　　age = 20
②SoTimeoutを1msに設定したRestTemplateでSoTimeoutが発生し、以下のメッセージおよびスタックトレースが出力されていること。
・"[e.sf.fw.9001] System error occurred!"
・"org.apache.hc.client5.http.ConnectTimeoutException"
以下、手動確認項目
コネクションの挙動を確認すること。
netstat -n | grep &lt;サーバのポート番号&gt;
接続が残っている：ESTABLISHED
クローズ待ちになった：CLOSE_WAIT
待ち状態：TIME_WAIT
完全にCLOSEされた：なし
しばらくの間ESTABLISHEDで残り続ける。
サーバ側の同時実行数が1の場合、SSLハンドシェイクを待ちでコネクションを握ったままの状態となり、正常なRestTemplateでもコネクションが取得できないこと。</t>
    <rPh sb="1" eb="3">
      <t>シュトク</t>
    </rPh>
    <rPh sb="14" eb="16">
      <t>イカ</t>
    </rPh>
    <rPh sb="17" eb="19">
      <t>ドウチ</t>
    </rPh>
    <rPh sb="80" eb="82">
      <t>セッテイ</t>
    </rPh>
    <rPh sb="107" eb="109">
      <t>ハッセイ</t>
    </rPh>
    <rPh sb="111" eb="113">
      <t>イカ</t>
    </rPh>
    <rPh sb="131" eb="133">
      <t>シュツリョク</t>
    </rPh>
    <rPh sb="239" eb="241">
      <t>イカ</t>
    </rPh>
    <rPh sb="242" eb="244">
      <t>シュドウ</t>
    </rPh>
    <rPh sb="244" eb="246">
      <t>カクニン</t>
    </rPh>
    <rPh sb="246" eb="248">
      <t>コウモク</t>
    </rPh>
    <rPh sb="401" eb="402">
      <t>ガワ</t>
    </rPh>
    <rPh sb="403" eb="407">
      <t>ドウジジッコウ</t>
    </rPh>
    <rPh sb="407" eb="408">
      <t>スウ</t>
    </rPh>
    <rPh sb="411" eb="413">
      <t>バアイ</t>
    </rPh>
    <rPh sb="425" eb="426">
      <t>マ</t>
    </rPh>
    <rPh sb="435" eb="436">
      <t>ニギ</t>
    </rPh>
    <rPh sb="441" eb="443">
      <t>ジョウタイ</t>
    </rPh>
    <rPh sb="447" eb="449">
      <t>セイジョウ</t>
    </rPh>
    <rPh sb="471" eb="473">
      <t>シュトク</t>
    </rPh>
    <phoneticPr fontId="2"/>
  </si>
  <si>
    <t>①システムエラー画面に遷移していること。
　・h1タグとtitleタグの値が"System Error!"であること。
　・以下のログが出力されていること。
　　・出力元のロガー名のパターン："org.terasoluna.gfw.common.exception.ExceptionLogger.Monitoring"
　　・メッセージのパターン："[e.sf.fw.9001]..*: Read timed out"
　・スタックトレースに以下の例外が出力されていること
　　・"java.net.SocketTimeoutException"</t>
    <rPh sb="8" eb="10">
      <t>ガメン</t>
    </rPh>
    <rPh sb="11" eb="13">
      <t>センイ</t>
    </rPh>
    <rPh sb="36" eb="37">
      <t>アタイ</t>
    </rPh>
    <rPh sb="62" eb="64">
      <t>イカ</t>
    </rPh>
    <rPh sb="68" eb="70">
      <t>シュツリョク</t>
    </rPh>
    <rPh sb="222" eb="224">
      <t>イカ</t>
    </rPh>
    <rPh sb="225" eb="227">
      <t>レイガイ</t>
    </rPh>
    <rPh sb="228" eb="230">
      <t>シュツリョク</t>
    </rPh>
    <phoneticPr fontId="2"/>
  </si>
  <si>
    <t xml:space="preserve">REST APIを呼び出し、MultiValueMap&lt;String, Object&gt;を送信し、AllEncompassingFormHttpMessageConverterが適用され、受信に失敗することを確認する。
</t>
    <rPh sb="93" eb="95">
      <t>ジュシン</t>
    </rPh>
    <rPh sb="96" eb="98">
      <t>シッパイ</t>
    </rPh>
    <rPh sb="103" eb="105">
      <t>カクニン</t>
    </rPh>
    <phoneticPr fontId="2"/>
  </si>
  <si>
    <t>リクエストボディのバッファリング設定（RestTemplate）</t>
    <rPh sb="16" eb="18">
      <t>セッテイ</t>
    </rPh>
    <phoneticPr fontId="2"/>
  </si>
  <si>
    <t>バッファリング設定ありの、Content-lengthの取得の確認</t>
    <rPh sb="7" eb="9">
      <t>セッテイ</t>
    </rPh>
    <rPh sb="31" eb="33">
      <t>カクニン</t>
    </rPh>
    <phoneticPr fontId="2"/>
  </si>
  <si>
    <t>バッファリング設定なしの、Content-lengthの取得の確認</t>
    <rPh sb="7" eb="9">
      <t>セッテイ</t>
    </rPh>
    <rPh sb="31" eb="33">
      <t>カクニン</t>
    </rPh>
    <phoneticPr fontId="2"/>
  </si>
  <si>
    <t>各種HttpMessageConverterの確認（RestTemplate）</t>
    <rPh sb="0" eb="2">
      <t>カクシュ</t>
    </rPh>
    <rPh sb="23" eb="25">
      <t>カクニン</t>
    </rPh>
    <phoneticPr fontId="2"/>
  </si>
  <si>
    <t>JacksonJsonHttpMessageConverterを利用した変換</t>
    <phoneticPr fontId="2"/>
  </si>
  <si>
    <t>BaseURLの設定（RestTemplate）</t>
    <rPh sb="8" eb="10">
      <t>セッテイ</t>
    </rPh>
    <phoneticPr fontId="2"/>
  </si>
  <si>
    <t>BaseURLを設定し、相対URLでのアクセスを確認</t>
    <rPh sb="8" eb="10">
      <t>セッテイ</t>
    </rPh>
    <rPh sb="12" eb="14">
      <t>ソウタイ</t>
    </rPh>
    <rPh sb="24" eb="26">
      <t>カクニン</t>
    </rPh>
    <phoneticPr fontId="2"/>
  </si>
  <si>
    <t>BaseURLを設定し、絶対URLでのアクセスを確認</t>
    <rPh sb="8" eb="10">
      <t>セッテイ</t>
    </rPh>
    <rPh sb="12" eb="14">
      <t>ゼッタイ</t>
    </rPh>
    <rPh sb="24" eb="26">
      <t>カクニン</t>
    </rPh>
    <phoneticPr fontId="2"/>
  </si>
  <si>
    <t>各種HTTPメソッドを利用したアクセスの確認（RestTemplate）</t>
    <rPh sb="0" eb="2">
      <t>カクシュ</t>
    </rPh>
    <rPh sb="11" eb="13">
      <t>リヨウ</t>
    </rPh>
    <rPh sb="20" eb="22">
      <t>カクニン</t>
    </rPh>
    <phoneticPr fontId="2"/>
  </si>
  <si>
    <t>GETメソッドを指定して、単一件のデータの取得を確認</t>
    <rPh sb="8" eb="10">
      <t>シテイ</t>
    </rPh>
    <rPh sb="13" eb="16">
      <t>タンイツケン</t>
    </rPh>
    <rPh sb="21" eb="23">
      <t>シュトク</t>
    </rPh>
    <rPh sb="24" eb="26">
      <t>カクニン</t>
    </rPh>
    <phoneticPr fontId="2"/>
  </si>
  <si>
    <t>GETメソッドを指定して、複数件のデータの取得を確認</t>
    <rPh sb="8" eb="10">
      <t>シテイ</t>
    </rPh>
    <rPh sb="13" eb="15">
      <t>フクスウ</t>
    </rPh>
    <rPh sb="15" eb="16">
      <t>ケン</t>
    </rPh>
    <rPh sb="21" eb="23">
      <t>シュトク</t>
    </rPh>
    <rPh sb="24" eb="26">
      <t>カクニン</t>
    </rPh>
    <phoneticPr fontId="2"/>
  </si>
  <si>
    <t>POSTメソッドを指定したRestAPIへのアクセスを確認</t>
    <rPh sb="9" eb="11">
      <t>シテイ</t>
    </rPh>
    <rPh sb="27" eb="29">
      <t>カクニン</t>
    </rPh>
    <phoneticPr fontId="2"/>
  </si>
  <si>
    <t>PUTメソッドを指定したRestAPIへのアクセスを確認</t>
    <rPh sb="8" eb="10">
      <t>シテイ</t>
    </rPh>
    <rPh sb="26" eb="28">
      <t>カクニン</t>
    </rPh>
    <phoneticPr fontId="2"/>
  </si>
  <si>
    <t>PATCHメソッドを指定したRestAPIへのアクセスを確認</t>
    <rPh sb="10" eb="12">
      <t>シテイ</t>
    </rPh>
    <rPh sb="28" eb="30">
      <t>カクニン</t>
    </rPh>
    <phoneticPr fontId="2"/>
  </si>
  <si>
    <t>DELETEメソッドを指定したRestAPIへのアクセスを確認</t>
    <rPh sb="11" eb="13">
      <t>シテイ</t>
    </rPh>
    <rPh sb="29" eb="31">
      <t>カクニン</t>
    </rPh>
    <phoneticPr fontId="2"/>
  </si>
  <si>
    <t>HEADメソッドを指定したRestAPIへのアクセスを確認</t>
    <rPh sb="9" eb="11">
      <t>シテイ</t>
    </rPh>
    <rPh sb="27" eb="29">
      <t>カクニン</t>
    </rPh>
    <phoneticPr fontId="2"/>
  </si>
  <si>
    <t>エラーハンドリングの設定（RestTemplate）</t>
    <rPh sb="10" eb="12">
      <t>セッテイ</t>
    </rPh>
    <phoneticPr fontId="2"/>
  </si>
  <si>
    <t>エラーハンドリング(try-catch)を実装し、レスポンスのステータスが200で返却された場合の挙動を確認</t>
    <rPh sb="21" eb="23">
      <t>ジッソウ</t>
    </rPh>
    <rPh sb="41" eb="43">
      <t>ヘンキャク</t>
    </rPh>
    <rPh sb="46" eb="48">
      <t>バアイ</t>
    </rPh>
    <rPh sb="49" eb="51">
      <t>キョドウ</t>
    </rPh>
    <rPh sb="52" eb="54">
      <t>カクニン</t>
    </rPh>
    <phoneticPr fontId="2"/>
  </si>
  <si>
    <t>エラーハンドリング(try-catch)を実装し、レスポンスのステータスが400系で返却された場合の挙動を確認</t>
    <rPh sb="21" eb="23">
      <t>ジッソウ</t>
    </rPh>
    <rPh sb="40" eb="41">
      <t>ケイ</t>
    </rPh>
    <rPh sb="42" eb="44">
      <t>ヘンキャク</t>
    </rPh>
    <rPh sb="47" eb="49">
      <t>バアイ</t>
    </rPh>
    <rPh sb="50" eb="52">
      <t>キョドウ</t>
    </rPh>
    <rPh sb="53" eb="55">
      <t>カクニン</t>
    </rPh>
    <phoneticPr fontId="2"/>
  </si>
  <si>
    <t>エラーハンドリング(try-catch)を実装し、レスポンスのステータスが500系で返却された場合の挙動を確認</t>
    <rPh sb="21" eb="23">
      <t>ジッソウ</t>
    </rPh>
    <rPh sb="40" eb="41">
      <t>ケイ</t>
    </rPh>
    <rPh sb="42" eb="44">
      <t>ヘンキャク</t>
    </rPh>
    <rPh sb="47" eb="49">
      <t>バアイ</t>
    </rPh>
    <rPh sb="50" eb="52">
      <t>キョドウ</t>
    </rPh>
    <rPh sb="53" eb="55">
      <t>カクニン</t>
    </rPh>
    <phoneticPr fontId="2"/>
  </si>
  <si>
    <t>エラーハンドリング(try-catch)を実装し、レスポンスのステータスがユーザー定義のコードで返却された場合の挙動を確認</t>
    <rPh sb="21" eb="23">
      <t>ジッソウ</t>
    </rPh>
    <rPh sb="41" eb="43">
      <t>テイギ</t>
    </rPh>
    <rPh sb="48" eb="50">
      <t>ヘンキャク</t>
    </rPh>
    <rPh sb="53" eb="55">
      <t>バアイ</t>
    </rPh>
    <rPh sb="56" eb="58">
      <t>キョドウ</t>
    </rPh>
    <rPh sb="59" eb="61">
      <t>カクニン</t>
    </rPh>
    <phoneticPr fontId="2"/>
  </si>
  <si>
    <t>ステータスコードで判定するロジックを実装し、レスポンスのステータスが200で返却された場合の挙動を確認</t>
    <rPh sb="9" eb="11">
      <t>ハンテイ</t>
    </rPh>
    <rPh sb="18" eb="20">
      <t>ジッソウ</t>
    </rPh>
    <rPh sb="38" eb="40">
      <t>ヘンキャク</t>
    </rPh>
    <rPh sb="43" eb="45">
      <t>バアイ</t>
    </rPh>
    <rPh sb="46" eb="48">
      <t>キョドウ</t>
    </rPh>
    <rPh sb="49" eb="51">
      <t>カクニン</t>
    </rPh>
    <phoneticPr fontId="2"/>
  </si>
  <si>
    <t>ステータスコードで判定するロジックを実装し、レスポンスのステータスが400系で返却された場合の挙動を確認</t>
    <rPh sb="9" eb="11">
      <t>ハンテイ</t>
    </rPh>
    <rPh sb="18" eb="20">
      <t>ジッソウ</t>
    </rPh>
    <rPh sb="37" eb="38">
      <t>ケイ</t>
    </rPh>
    <rPh sb="39" eb="41">
      <t>ヘンキャク</t>
    </rPh>
    <rPh sb="44" eb="46">
      <t>バアイ</t>
    </rPh>
    <rPh sb="47" eb="49">
      <t>キョドウ</t>
    </rPh>
    <rPh sb="50" eb="52">
      <t>カクニン</t>
    </rPh>
    <phoneticPr fontId="2"/>
  </si>
  <si>
    <t>ステータスコードで判定するロジックを実装し、レスポンスのステータスが500系で返却された場合の挙動を確認</t>
    <rPh sb="9" eb="11">
      <t>ハンテイ</t>
    </rPh>
    <rPh sb="18" eb="20">
      <t>ジッソウ</t>
    </rPh>
    <rPh sb="37" eb="38">
      <t>ケイ</t>
    </rPh>
    <rPh sb="39" eb="41">
      <t>ヘンキャク</t>
    </rPh>
    <rPh sb="44" eb="46">
      <t>バアイ</t>
    </rPh>
    <rPh sb="47" eb="49">
      <t>キョドウ</t>
    </rPh>
    <rPh sb="50" eb="52">
      <t>カクニン</t>
    </rPh>
    <phoneticPr fontId="2"/>
  </si>
  <si>
    <t>例外で判定を行うリトライ処理を実装して、リトライ回数が上限に到達しない場合、処理が正常終了するかを確認　（ガイドラインの独自実装の確認）</t>
    <rPh sb="0" eb="2">
      <t>レイガイ</t>
    </rPh>
    <rPh sb="12" eb="14">
      <t>ショリ</t>
    </rPh>
    <rPh sb="15" eb="17">
      <t>ジッソウ</t>
    </rPh>
    <rPh sb="24" eb="26">
      <t>カイスウ</t>
    </rPh>
    <rPh sb="27" eb="29">
      <t>ジョウゲン</t>
    </rPh>
    <rPh sb="30" eb="32">
      <t>トウタツ</t>
    </rPh>
    <rPh sb="35" eb="37">
      <t>バアイ</t>
    </rPh>
    <rPh sb="38" eb="40">
      <t>ショリ</t>
    </rPh>
    <rPh sb="41" eb="43">
      <t>セイジョウ</t>
    </rPh>
    <rPh sb="43" eb="45">
      <t>シュウリョウ</t>
    </rPh>
    <rPh sb="49" eb="51">
      <t>カクニン</t>
    </rPh>
    <rPh sb="60" eb="62">
      <t>ドクジ</t>
    </rPh>
    <rPh sb="62" eb="64">
      <t>ジッソウ</t>
    </rPh>
    <rPh sb="65" eb="67">
      <t>カクニン</t>
    </rPh>
    <phoneticPr fontId="2"/>
  </si>
  <si>
    <t>例外で判定を行うリトライ処理を実装して、リトライ回数が上限に到達した場合、処理が異常終了するかを確認　（ガイドラインの独自実装の確認）</t>
    <rPh sb="12" eb="14">
      <t>ショリ</t>
    </rPh>
    <rPh sb="15" eb="17">
      <t>ジッソウ</t>
    </rPh>
    <rPh sb="24" eb="26">
      <t>カイスウ</t>
    </rPh>
    <rPh sb="27" eb="29">
      <t>ジョウゲン</t>
    </rPh>
    <rPh sb="30" eb="32">
      <t>トウタツ</t>
    </rPh>
    <rPh sb="34" eb="36">
      <t>バアイ</t>
    </rPh>
    <rPh sb="37" eb="39">
      <t>ショリ</t>
    </rPh>
    <rPh sb="40" eb="42">
      <t>イジョウ</t>
    </rPh>
    <rPh sb="42" eb="44">
      <t>シュウリョウ</t>
    </rPh>
    <rPh sb="48" eb="50">
      <t>カクニン</t>
    </rPh>
    <rPh sb="59" eb="61">
      <t>ドクジ</t>
    </rPh>
    <rPh sb="61" eb="63">
      <t>ジッソウ</t>
    </rPh>
    <rPh sb="64" eb="66">
      <t>カクニン</t>
    </rPh>
    <phoneticPr fontId="2"/>
  </si>
  <si>
    <t>ステータスコードで判定を行うリトライ処理を実装して、リトライ回数が上限に到達しない場合、処理が正常終了するかを確認　（ガイドラインの独自実装の確認）</t>
    <rPh sb="9" eb="11">
      <t>ハンテイ</t>
    </rPh>
    <rPh sb="12" eb="13">
      <t>オコナ</t>
    </rPh>
    <rPh sb="18" eb="20">
      <t>ショリ</t>
    </rPh>
    <rPh sb="21" eb="23">
      <t>ジッソウ</t>
    </rPh>
    <rPh sb="30" eb="32">
      <t>カイスウ</t>
    </rPh>
    <rPh sb="33" eb="35">
      <t>ジョウゲン</t>
    </rPh>
    <rPh sb="36" eb="38">
      <t>トウタツ</t>
    </rPh>
    <rPh sb="41" eb="43">
      <t>バアイ</t>
    </rPh>
    <rPh sb="44" eb="46">
      <t>ショリ</t>
    </rPh>
    <rPh sb="47" eb="49">
      <t>セイジョウ</t>
    </rPh>
    <rPh sb="49" eb="51">
      <t>シュウリョウ</t>
    </rPh>
    <rPh sb="55" eb="57">
      <t>カクニン</t>
    </rPh>
    <rPh sb="66" eb="68">
      <t>ドクジ</t>
    </rPh>
    <rPh sb="68" eb="70">
      <t>ジッソウ</t>
    </rPh>
    <rPh sb="71" eb="73">
      <t>カクニン</t>
    </rPh>
    <phoneticPr fontId="2"/>
  </si>
  <si>
    <t>ステータスコードで判定を行うリトライ処理を実装して、リトライ回数が上限に到達した場合、処理が異常終了するかを確認　（ガイドラインの独自実装の確認）</t>
    <rPh sb="18" eb="20">
      <t>ショリ</t>
    </rPh>
    <rPh sb="21" eb="23">
      <t>ジッソウ</t>
    </rPh>
    <rPh sb="30" eb="32">
      <t>カイスウ</t>
    </rPh>
    <rPh sb="33" eb="35">
      <t>ジョウゲン</t>
    </rPh>
    <rPh sb="36" eb="38">
      <t>トウタツ</t>
    </rPh>
    <rPh sb="40" eb="42">
      <t>バアイ</t>
    </rPh>
    <rPh sb="43" eb="45">
      <t>ショリ</t>
    </rPh>
    <rPh sb="46" eb="48">
      <t>イジョウ</t>
    </rPh>
    <rPh sb="48" eb="50">
      <t>シュウリョウ</t>
    </rPh>
    <rPh sb="54" eb="56">
      <t>カクニン</t>
    </rPh>
    <rPh sb="65" eb="67">
      <t>ドクジ</t>
    </rPh>
    <rPh sb="67" eb="69">
      <t>ジッソウ</t>
    </rPh>
    <rPh sb="70" eb="72">
      <t>カクニン</t>
    </rPh>
    <phoneticPr fontId="2"/>
  </si>
  <si>
    <t>共通リクエストヘッダの設定を行い、リクエストヘッダが付与されるかを確認</t>
    <rPh sb="0" eb="2">
      <t>キョウツウ</t>
    </rPh>
    <rPh sb="11" eb="13">
      <t>セッテイ</t>
    </rPh>
    <rPh sb="14" eb="15">
      <t>オコナ</t>
    </rPh>
    <rPh sb="26" eb="28">
      <t>フヨ</t>
    </rPh>
    <rPh sb="33" eb="35">
      <t>カクニン</t>
    </rPh>
    <phoneticPr fontId="2"/>
  </si>
  <si>
    <t>共通リクエストヘッダの設定（RestTemplate）</t>
    <rPh sb="0" eb="2">
      <t>キョウツウ</t>
    </rPh>
    <rPh sb="11" eb="13">
      <t>セッテイ</t>
    </rPh>
    <phoneticPr fontId="2"/>
  </si>
  <si>
    <t>認証の設定（RestTemplate）</t>
    <rPh sb="3" eb="5">
      <t>セッテイ</t>
    </rPh>
    <phoneticPr fontId="2"/>
  </si>
  <si>
    <t>正しい資格情報の認証ヘッダ(Basic)を付与して、RestAPIの認証が正常に通ることを確認</t>
    <rPh sb="0" eb="1">
      <t>タダ</t>
    </rPh>
    <rPh sb="3" eb="7">
      <t>シカクジョウホウ</t>
    </rPh>
    <rPh sb="8" eb="10">
      <t>ニンショウ</t>
    </rPh>
    <rPh sb="34" eb="36">
      <t>ニンショウ</t>
    </rPh>
    <rPh sb="37" eb="39">
      <t>セイジョウ</t>
    </rPh>
    <rPh sb="40" eb="41">
      <t>トオ</t>
    </rPh>
    <rPh sb="45" eb="47">
      <t>カクニンフヨ</t>
    </rPh>
    <phoneticPr fontId="2"/>
  </si>
  <si>
    <t>誤った資格情報の認証ヘッダ(Basic)を付与して、RestAPIの認証が通らないことを確認</t>
    <rPh sb="0" eb="1">
      <t>アヤマ</t>
    </rPh>
    <rPh sb="3" eb="7">
      <t>シカクジョウホウ</t>
    </rPh>
    <rPh sb="8" eb="10">
      <t>ニンショウ</t>
    </rPh>
    <rPh sb="34" eb="36">
      <t>ニンショウ</t>
    </rPh>
    <rPh sb="37" eb="38">
      <t>トオ</t>
    </rPh>
    <rPh sb="44" eb="46">
      <t>カクニンフヨ</t>
    </rPh>
    <phoneticPr fontId="2"/>
  </si>
  <si>
    <t>認証ヘッダ(Basic)を付与せずRestAPIへアクセスした際に、RestAPIの認証が通らないことを確認</t>
    <rPh sb="0" eb="2">
      <t>ニンショウ</t>
    </rPh>
    <rPh sb="31" eb="32">
      <t>サイ</t>
    </rPh>
    <rPh sb="42" eb="44">
      <t>ニンショウ</t>
    </rPh>
    <rPh sb="45" eb="46">
      <t>トオ</t>
    </rPh>
    <rPh sb="52" eb="54">
      <t>カクニンフヨ</t>
    </rPh>
    <phoneticPr fontId="2"/>
  </si>
  <si>
    <t>Connect Timeoutを設定し、指定した時間でコネクション確立のタイムアウトが発生することを確認</t>
    <rPh sb="16" eb="18">
      <t>セッテイ</t>
    </rPh>
    <rPh sb="20" eb="22">
      <t>シテイ</t>
    </rPh>
    <rPh sb="24" eb="26">
      <t>ジカン</t>
    </rPh>
    <rPh sb="33" eb="35">
      <t>カクリツ</t>
    </rPh>
    <rPh sb="43" eb="45">
      <t>ハッセイ</t>
    </rPh>
    <rPh sb="50" eb="52">
      <t>カクニン</t>
    </rPh>
    <phoneticPr fontId="2"/>
  </si>
  <si>
    <t>Read Timeoutを設定し、指定した時間でレスポンス受信のタイムアウトが発生することを確認</t>
    <rPh sb="13" eb="15">
      <t>セッテイ</t>
    </rPh>
    <rPh sb="17" eb="19">
      <t>シテイ</t>
    </rPh>
    <rPh sb="21" eb="23">
      <t>ジカン</t>
    </rPh>
    <rPh sb="29" eb="31">
      <t>ジュシン</t>
    </rPh>
    <rPh sb="39" eb="41">
      <t>ハッセイ</t>
    </rPh>
    <rPh sb="46" eb="48">
      <t>カクニン</t>
    </rPh>
    <phoneticPr fontId="2"/>
  </si>
  <si>
    <t>ファイルのアップロードを確認</t>
    <rPh sb="12" eb="14">
      <t>カクニン</t>
    </rPh>
    <phoneticPr fontId="2"/>
  </si>
  <si>
    <t>レスポンスボディをByte型で受信して、ファイルダウンロードを行えるかを確認</t>
    <rPh sb="13" eb="14">
      <t>カタ</t>
    </rPh>
    <rPh sb="15" eb="17">
      <t>ジュシン</t>
    </rPh>
    <rPh sb="31" eb="32">
      <t>オコナ</t>
    </rPh>
    <rPh sb="36" eb="38">
      <t>カクニン</t>
    </rPh>
    <phoneticPr fontId="2"/>
  </si>
  <si>
    <t>レスポンスボディをResource型で受信して、ファイルダウンロードを行えるかを確認</t>
    <rPh sb="17" eb="18">
      <t>カタ</t>
    </rPh>
    <rPh sb="19" eb="21">
      <t>ジュシン</t>
    </rPh>
    <rPh sb="35" eb="36">
      <t>オコナ</t>
    </rPh>
    <rPh sb="40" eb="42">
      <t>カクニン</t>
    </rPh>
    <phoneticPr fontId="2"/>
  </si>
  <si>
    <t>レスポンスボディをInputStream型で受信して、ファイルダウンロードを行えるかを確認</t>
    <rPh sb="20" eb="21">
      <t>カタ</t>
    </rPh>
    <rPh sb="22" eb="24">
      <t>ジュシン</t>
    </rPh>
    <rPh sb="38" eb="39">
      <t>オコナ</t>
    </rPh>
    <rPh sb="43" eb="45">
      <t>カクニン</t>
    </rPh>
    <phoneticPr fontId="2"/>
  </si>
  <si>
    <t>RestAPIからレスポンスを受信した際に、レスポンスボディ以外の情報も取得が行えることを確認</t>
    <rPh sb="15" eb="17">
      <t>ジュシン</t>
    </rPh>
    <rPh sb="19" eb="20">
      <t>サイ</t>
    </rPh>
    <rPh sb="30" eb="32">
      <t>イガイ</t>
    </rPh>
    <rPh sb="33" eb="35">
      <t>ジョウホウ</t>
    </rPh>
    <rPh sb="36" eb="38">
      <t>シュトク</t>
    </rPh>
    <rPh sb="39" eb="40">
      <t>オコナ</t>
    </rPh>
    <rPh sb="45" eb="47">
      <t>カクニン</t>
    </rPh>
    <phoneticPr fontId="2"/>
  </si>
  <si>
    <t>RestAPIへリクエストを送信する際に、リクエストに対してヘッダの設定が行えることを確認</t>
    <rPh sb="18" eb="19">
      <t>サイ</t>
    </rPh>
    <rPh sb="27" eb="28">
      <t>タイ</t>
    </rPh>
    <rPh sb="34" eb="36">
      <t>セッテイ</t>
    </rPh>
    <rPh sb="37" eb="38">
      <t>オコナ</t>
    </rPh>
    <rPh sb="43" eb="45">
      <t>カクニン</t>
    </rPh>
    <phoneticPr fontId="2"/>
  </si>
  <si>
    <t>クライアント実行時にリクエストヘッダの設定を行い、リクエストヘッダ（Content-Type）が付与されるかを確認</t>
    <rPh sb="6" eb="9">
      <t>ジッコウジ</t>
    </rPh>
    <rPh sb="19" eb="21">
      <t>セッテイ</t>
    </rPh>
    <phoneticPr fontId="2"/>
  </si>
  <si>
    <t>クライアント実行時にリクエストヘッダの設定を行い、リクエストヘッダ（Accept）が付与されるかを確認</t>
    <rPh sb="6" eb="9">
      <t>ジッコウジ</t>
    </rPh>
    <rPh sb="19" eb="21">
      <t>セッテイ</t>
    </rPh>
    <phoneticPr fontId="2"/>
  </si>
  <si>
    <t>クライアント実行時にリクエストヘッダの設定を行い、リクエストヘッダ（カスタムヘッダ）が付与されるかを確認</t>
    <rPh sb="6" eb="9">
      <t>ジッコウジ</t>
    </rPh>
    <rPh sb="19" eb="21">
      <t>セッテイ</t>
    </rPh>
    <phoneticPr fontId="2"/>
  </si>
  <si>
    <t>UriBuilderFactoryをカスタマイズし、LocalDateで設定した日付が、特定の文字列フォーマットに変換されRestAPIに送信されることを確認</t>
    <rPh sb="36" eb="38">
      <t>セッテイ</t>
    </rPh>
    <rPh sb="40" eb="42">
      <t>ヒヅケ</t>
    </rPh>
    <rPh sb="44" eb="46">
      <t>トクテイ</t>
    </rPh>
    <rPh sb="47" eb="50">
      <t>モジレツ</t>
    </rPh>
    <rPh sb="57" eb="59">
      <t>ヘンカン</t>
    </rPh>
    <rPh sb="69" eb="71">
      <t>ソウシン</t>
    </rPh>
    <rPh sb="77" eb="79">
      <t>カクニン</t>
    </rPh>
    <phoneticPr fontId="2"/>
  </si>
  <si>
    <t>HTTPSを要求するAPIへアクセスが行えることを確認</t>
    <rPh sb="6" eb="8">
      <t>ヨウキュウ</t>
    </rPh>
    <rPh sb="19" eb="20">
      <t>オコナ</t>
    </rPh>
    <rPh sb="25" eb="27">
      <t>カクニン</t>
    </rPh>
    <phoneticPr fontId="2"/>
  </si>
  <si>
    <t>タイムアウト設定（RestTemplate）</t>
    <rPh sb="6" eb="8">
      <t>セッテイ</t>
    </rPh>
    <phoneticPr fontId="2"/>
  </si>
  <si>
    <t>レスポンス情報の取得、リクエスト情報の設定（RestTemplate）</t>
    <rPh sb="5" eb="7">
      <t>ジョウホウ</t>
    </rPh>
    <rPh sb="8" eb="10">
      <t>シュトク</t>
    </rPh>
    <rPh sb="16" eb="18">
      <t>ジョウホウ</t>
    </rPh>
    <rPh sb="19" eb="21">
      <t>セッテイ</t>
    </rPh>
    <phoneticPr fontId="2"/>
  </si>
  <si>
    <t>個別のリクエストヘッダの設定（RestTemplate）</t>
    <rPh sb="0" eb="2">
      <t>コベツ</t>
    </rPh>
    <rPh sb="12" eb="14">
      <t>セッテイ</t>
    </rPh>
    <phoneticPr fontId="2"/>
  </si>
  <si>
    <t>埋め込みパラメータのカスタマイズ設定（RestTemplate）</t>
    <rPh sb="16" eb="18">
      <t>セッテイ</t>
    </rPh>
    <phoneticPr fontId="2"/>
  </si>
  <si>
    <t>SSL自己署名証明書とSSL通信（RestTemplate）</t>
    <rPh sb="14" eb="16">
      <t>ツウシン</t>
    </rPh>
    <phoneticPr fontId="2"/>
  </si>
  <si>
    <t>カスタムコンバータの設定（RestTemplate）</t>
    <rPh sb="10" eb="12">
      <t>セッテイ</t>
    </rPh>
    <phoneticPr fontId="2"/>
  </si>
  <si>
    <t>独自のメディアタイプを設定したカスタムコンバータを作成し、カスタムコンバータで実装した変換処理が行われるかを確認</t>
    <rPh sb="0" eb="2">
      <t>ドクジ</t>
    </rPh>
    <rPh sb="11" eb="13">
      <t>セッテイ</t>
    </rPh>
    <rPh sb="25" eb="27">
      <t>サクセイ</t>
    </rPh>
    <rPh sb="39" eb="41">
      <t>ジッソウ</t>
    </rPh>
    <rPh sb="43" eb="45">
      <t>ヘンカン</t>
    </rPh>
    <rPh sb="45" eb="47">
      <t>ショリ</t>
    </rPh>
    <rPh sb="48" eb="49">
      <t>オコナ</t>
    </rPh>
    <rPh sb="54" eb="56">
      <t>カクニン</t>
    </rPh>
    <phoneticPr fontId="2"/>
  </si>
  <si>
    <t>既存のメディアタイプ（application/json）に対して、別のHttpMessageConverterを設定し変換処理が切り替わるかを確認</t>
    <rPh sb="0" eb="2">
      <t>キゾン</t>
    </rPh>
    <rPh sb="29" eb="30">
      <t>タイ</t>
    </rPh>
    <rPh sb="33" eb="34">
      <t>ベツ</t>
    </rPh>
    <rPh sb="56" eb="58">
      <t>セッテイ</t>
    </rPh>
    <rPh sb="59" eb="63">
      <t>ヘンカンショリ</t>
    </rPh>
    <rPh sb="64" eb="65">
      <t>キ</t>
    </rPh>
    <rPh sb="66" eb="67">
      <t>カ</t>
    </rPh>
    <rPh sb="71" eb="73">
      <t>カクニン</t>
    </rPh>
    <phoneticPr fontId="2"/>
  </si>
  <si>
    <t>リクエスト送信前後の共通処理設定（RestTemplate）</t>
    <rPh sb="5" eb="9">
      <t>ソウシンゼンゴ</t>
    </rPh>
    <rPh sb="10" eb="14">
      <t>キョウツウショリ</t>
    </rPh>
    <rPh sb="14" eb="16">
      <t>セッテイ</t>
    </rPh>
    <phoneticPr fontId="2"/>
  </si>
  <si>
    <t>リクエスト、レスポンスログを出力するInterceptorを設定し、正常にログが出力されるかを確認</t>
    <rPh sb="14" eb="16">
      <t>シュツリョク</t>
    </rPh>
    <rPh sb="30" eb="32">
      <t>セッテイ</t>
    </rPh>
    <rPh sb="34" eb="36">
      <t>セイジョウ</t>
    </rPh>
    <rPh sb="40" eb="42">
      <t>シュツリョク</t>
    </rPh>
    <rPh sb="47" eb="49">
      <t>カクニン</t>
    </rPh>
    <phoneticPr fontId="2"/>
  </si>
  <si>
    <t>RESTfulなURL(URIテンプレート)を扱う方法と実装（RestTemplate）</t>
    <rPh sb="23" eb="24">
      <t>アツカ</t>
    </rPh>
    <rPh sb="25" eb="27">
      <t>ホウホウ</t>
    </rPh>
    <rPh sb="28" eb="30">
      <t>ジッソウ</t>
    </rPh>
    <phoneticPr fontId="2"/>
  </si>
  <si>
    <t>HTTP Proxyの設定（RestTemplate）</t>
    <rPh sb="11" eb="13">
      <t>セッテイ</t>
    </rPh>
    <phoneticPr fontId="2"/>
  </si>
  <si>
    <t>URLの一部に埋め込み文字を定義し、リクエスト送信時（getForObject）にURLに値が埋め込まれるかを確認</t>
    <rPh sb="4" eb="6">
      <t>イチブ</t>
    </rPh>
    <rPh sb="7" eb="8">
      <t>ウ</t>
    </rPh>
    <rPh sb="9" eb="10">
      <t>コ</t>
    </rPh>
    <rPh sb="11" eb="13">
      <t>モジ</t>
    </rPh>
    <rPh sb="14" eb="16">
      <t>テイギ</t>
    </rPh>
    <rPh sb="23" eb="26">
      <t>ソウシンジ</t>
    </rPh>
    <rPh sb="45" eb="46">
      <t>アタイ</t>
    </rPh>
    <rPh sb="47" eb="48">
      <t>ウ</t>
    </rPh>
    <rPh sb="49" eb="50">
      <t>コ</t>
    </rPh>
    <rPh sb="55" eb="57">
      <t>カクニン</t>
    </rPh>
    <phoneticPr fontId="2"/>
  </si>
  <si>
    <t>URLの一部に埋め込み文字を定義し、リクエスト送信時（exchange）にURLに値が埋め込まれるかを確認</t>
    <rPh sb="4" eb="6">
      <t>イチブ</t>
    </rPh>
    <rPh sb="7" eb="8">
      <t>ウ</t>
    </rPh>
    <rPh sb="9" eb="10">
      <t>コ</t>
    </rPh>
    <rPh sb="11" eb="13">
      <t>モジ</t>
    </rPh>
    <rPh sb="14" eb="16">
      <t>テイギ</t>
    </rPh>
    <rPh sb="23" eb="26">
      <t>ソウシンジ</t>
    </rPh>
    <rPh sb="41" eb="42">
      <t>アタイ</t>
    </rPh>
    <rPh sb="43" eb="44">
      <t>ウ</t>
    </rPh>
    <rPh sb="45" eb="46">
      <t>コ</t>
    </rPh>
    <rPh sb="51" eb="53">
      <t>カクニン</t>
    </rPh>
    <phoneticPr fontId="2"/>
  </si>
  <si>
    <t>Proxyの設定を行い、認証なしのProxyに対してアクセスが行えるかを確認</t>
    <rPh sb="6" eb="8">
      <t>セッテイ</t>
    </rPh>
    <rPh sb="9" eb="10">
      <t>オコナ</t>
    </rPh>
    <rPh sb="12" eb="14">
      <t>ニンショウ</t>
    </rPh>
    <rPh sb="23" eb="24">
      <t>タイ</t>
    </rPh>
    <rPh sb="31" eb="32">
      <t>オコナ</t>
    </rPh>
    <rPh sb="36" eb="38">
      <t>カクニン</t>
    </rPh>
    <phoneticPr fontId="2"/>
  </si>
  <si>
    <t>誤った資格情報のProxy設定を行い、認証ありのProxyに対してアクセスが失敗するかを確認</t>
    <rPh sb="0" eb="1">
      <t>アヤマ</t>
    </rPh>
    <rPh sb="3" eb="7">
      <t>シカクジョウホウ</t>
    </rPh>
    <rPh sb="13" eb="15">
      <t>セッテイ</t>
    </rPh>
    <rPh sb="16" eb="17">
      <t>オコナ</t>
    </rPh>
    <rPh sb="19" eb="21">
      <t>ニンショウ</t>
    </rPh>
    <rPh sb="30" eb="31">
      <t>タイ</t>
    </rPh>
    <rPh sb="38" eb="40">
      <t>シッパイ</t>
    </rPh>
    <rPh sb="44" eb="46">
      <t>カクニン</t>
    </rPh>
    <phoneticPr fontId="2"/>
  </si>
  <si>
    <t>正しい資格情報のProxy設定を行い、認証ありのProxyに対してアクセスができるかを確認</t>
    <rPh sb="0" eb="1">
      <t>タダ</t>
    </rPh>
    <rPh sb="3" eb="7">
      <t>シカクジョウホウ</t>
    </rPh>
    <rPh sb="13" eb="15">
      <t>セッテイ</t>
    </rPh>
    <rPh sb="16" eb="17">
      <t>オコナ</t>
    </rPh>
    <rPh sb="19" eb="21">
      <t>ニンショウ</t>
    </rPh>
    <rPh sb="30" eb="31">
      <t>タイ</t>
    </rPh>
    <rPh sb="43" eb="45">
      <t>カクニン</t>
    </rPh>
    <phoneticPr fontId="2"/>
  </si>
  <si>
    <t>欠番</t>
    <rPh sb="0" eb="2">
      <t>ケツバン</t>
    </rPh>
    <phoneticPr fontId="2"/>
  </si>
  <si>
    <t>CompletableFutureを利用し非同期でデータの一括登録を行い、RestAPIに正常にデータを送信できることを確認</t>
    <rPh sb="18" eb="20">
      <t>リヨウ</t>
    </rPh>
    <rPh sb="21" eb="24">
      <t>ヒドウキ</t>
    </rPh>
    <rPh sb="29" eb="31">
      <t>イッカツ</t>
    </rPh>
    <rPh sb="31" eb="33">
      <t>トウロク</t>
    </rPh>
    <rPh sb="34" eb="35">
      <t>オコナ</t>
    </rPh>
    <rPh sb="45" eb="47">
      <t>セイジョウ</t>
    </rPh>
    <rPh sb="52" eb="54">
      <t>ソウシン</t>
    </rPh>
    <rPh sb="60" eb="62">
      <t>カクニン</t>
    </rPh>
    <phoneticPr fontId="2"/>
  </si>
  <si>
    <t>CompletableFutureを利用し同期でデータの一括登録を行い、RestAPIに正常にデータを送信できることを確認</t>
    <rPh sb="18" eb="20">
      <t>リヨウ</t>
    </rPh>
    <rPh sb="21" eb="23">
      <t>ドウキ</t>
    </rPh>
    <rPh sb="28" eb="30">
      <t>イッカツ</t>
    </rPh>
    <rPh sb="30" eb="32">
      <t>トウロク</t>
    </rPh>
    <rPh sb="33" eb="34">
      <t>オコナ</t>
    </rPh>
    <rPh sb="44" eb="46">
      <t>セイジョウ</t>
    </rPh>
    <rPh sb="51" eb="53">
      <t>ソウシン</t>
    </rPh>
    <rPh sb="59" eb="61">
      <t>カクニン</t>
    </rPh>
    <phoneticPr fontId="2"/>
  </si>
  <si>
    <t>エラーハンドリングの設定（WebClient）</t>
    <rPh sb="10" eb="12">
      <t>セッテイ</t>
    </rPh>
    <phoneticPr fontId="2"/>
  </si>
  <si>
    <t>非同期通信のデータ登録（WebClient）</t>
    <rPh sb="0" eb="3">
      <t>ヒドウキ</t>
    </rPh>
    <rPh sb="3" eb="5">
      <t>ツウシン</t>
    </rPh>
    <rPh sb="9" eb="11">
      <t>トウロク</t>
    </rPh>
    <phoneticPr fontId="2"/>
  </si>
  <si>
    <t>エラーハンドリングの設定を行い、該当するステータスコードの場合にステータスハンドラーが実行されることを確認</t>
    <rPh sb="10" eb="12">
      <t>セッテイ</t>
    </rPh>
    <rPh sb="13" eb="14">
      <t>オコナ</t>
    </rPh>
    <rPh sb="16" eb="18">
      <t>ガイトウ</t>
    </rPh>
    <rPh sb="29" eb="31">
      <t>バアイ</t>
    </rPh>
    <rPh sb="43" eb="45">
      <t>ジッコウ</t>
    </rPh>
    <rPh sb="51" eb="53">
      <t>カクニン</t>
    </rPh>
    <phoneticPr fontId="2"/>
  </si>
  <si>
    <t>クライアント実行時にエラーハンドリングの設定を行い、該当するステータスコードの場合にステータスハンドラーが実行されることを確認</t>
    <rPh sb="6" eb="9">
      <t>ジッコウジ</t>
    </rPh>
    <rPh sb="20" eb="22">
      <t>セッテイ</t>
    </rPh>
    <rPh sb="23" eb="24">
      <t>オコナ</t>
    </rPh>
    <rPh sb="26" eb="28">
      <t>ガイトウ</t>
    </rPh>
    <rPh sb="39" eb="41">
      <t>バアイ</t>
    </rPh>
    <rPh sb="53" eb="55">
      <t>ジッコウ</t>
    </rPh>
    <rPh sb="61" eb="63">
      <t>カクニン</t>
    </rPh>
    <phoneticPr fontId="2"/>
  </si>
  <si>
    <t>非同期結果を受信するリスナーにてエラー処理を実装し、レスポンスのステータスが200で返却された場合の挙動を確認</t>
    <rPh sb="0" eb="3">
      <t>ヒドウキ</t>
    </rPh>
    <rPh sb="3" eb="5">
      <t>ケッカ</t>
    </rPh>
    <rPh sb="6" eb="8">
      <t>ジュシン</t>
    </rPh>
    <rPh sb="19" eb="21">
      <t>ショリ</t>
    </rPh>
    <rPh sb="22" eb="24">
      <t>ジッソウ</t>
    </rPh>
    <phoneticPr fontId="2"/>
  </si>
  <si>
    <t>非同期結果を受信するリスナーにてエラー処理を実装し、レスポンスのステータスが400系で返却された場合の挙動を確認</t>
    <rPh sb="0" eb="3">
      <t>ヒドウキ</t>
    </rPh>
    <rPh sb="3" eb="5">
      <t>ケッカ</t>
    </rPh>
    <rPh sb="6" eb="8">
      <t>ジュシン</t>
    </rPh>
    <rPh sb="19" eb="21">
      <t>ショリ</t>
    </rPh>
    <rPh sb="22" eb="24">
      <t>ジッソウ</t>
    </rPh>
    <rPh sb="41" eb="42">
      <t>ケイ</t>
    </rPh>
    <phoneticPr fontId="2"/>
  </si>
  <si>
    <t>非同期結果を受信するリスナーにてエラー処理を実装し、レスポンスのステータスが500系で返却された場合の挙動を確認</t>
    <rPh sb="0" eb="3">
      <t>ヒドウキ</t>
    </rPh>
    <rPh sb="3" eb="5">
      <t>ケッカ</t>
    </rPh>
    <rPh sb="6" eb="8">
      <t>ジュシン</t>
    </rPh>
    <rPh sb="19" eb="21">
      <t>ショリ</t>
    </rPh>
    <rPh sb="22" eb="24">
      <t>ジッソウ</t>
    </rPh>
    <rPh sb="41" eb="42">
      <t>ケイ</t>
    </rPh>
    <phoneticPr fontId="2"/>
  </si>
  <si>
    <t>非同期結果を受信するリスナーにてエラー処理を実装し、レスポンスのステータスがユーザー定義のコードで返却された場合の挙動を確認</t>
    <rPh sb="0" eb="3">
      <t>ヒドウキ</t>
    </rPh>
    <rPh sb="3" eb="5">
      <t>ケッカ</t>
    </rPh>
    <rPh sb="6" eb="8">
      <t>ジュシン</t>
    </rPh>
    <rPh sb="19" eb="21">
      <t>ショリ</t>
    </rPh>
    <rPh sb="22" eb="24">
      <t>ジッソウ</t>
    </rPh>
    <phoneticPr fontId="2"/>
  </si>
  <si>
    <t>非同期結果を受信するリスナーにてエラー処理を実装し、イベントループのストリーム処理中にエラーが発生した場合の挙動を確認</t>
    <rPh sb="0" eb="3">
      <t>ヒドウキ</t>
    </rPh>
    <rPh sb="3" eb="5">
      <t>ケッカ</t>
    </rPh>
    <rPh sb="6" eb="8">
      <t>ジュシン</t>
    </rPh>
    <rPh sb="19" eb="21">
      <t>ショリ</t>
    </rPh>
    <rPh sb="22" eb="24">
      <t>ジッソウ</t>
    </rPh>
    <rPh sb="39" eb="41">
      <t>ショリ</t>
    </rPh>
    <rPh sb="41" eb="42">
      <t>チュウ</t>
    </rPh>
    <rPh sb="47" eb="49">
      <t>ハッセイ</t>
    </rPh>
    <rPh sb="51" eb="53">
      <t>バアイ</t>
    </rPh>
    <rPh sb="54" eb="56">
      <t>キョドウ</t>
    </rPh>
    <rPh sb="57" eb="59">
      <t>カクニン</t>
    </rPh>
    <phoneticPr fontId="2"/>
  </si>
  <si>
    <t>リクエスト送信前の共通処理設定（WebClient）</t>
    <rPh sb="5" eb="7">
      <t>ソウシン</t>
    </rPh>
    <rPh sb="7" eb="8">
      <t>マエ</t>
    </rPh>
    <rPh sb="9" eb="13">
      <t>キョウツウショリ</t>
    </rPh>
    <rPh sb="13" eb="15">
      <t>セッテイ</t>
    </rPh>
    <phoneticPr fontId="2"/>
  </si>
  <si>
    <t>ログ出力をするExchangeFilterFunctionを設定し、リクエスト送信前のログが出力されることを確認</t>
    <rPh sb="2" eb="4">
      <t>シュツリョク</t>
    </rPh>
    <rPh sb="30" eb="32">
      <t>セッテイ</t>
    </rPh>
    <rPh sb="39" eb="42">
      <t>ソウシンマエ</t>
    </rPh>
    <rPh sb="46" eb="48">
      <t>シュツリョク</t>
    </rPh>
    <rPh sb="54" eb="56">
      <t>カクニン</t>
    </rPh>
    <phoneticPr fontId="2"/>
  </si>
  <si>
    <t>リクエストヘッダを付与するExchangeFilterFunctionを設定し、リクエスト送信時にヘッダが付与されることを確認</t>
    <rPh sb="9" eb="11">
      <t>フヨ</t>
    </rPh>
    <rPh sb="36" eb="38">
      <t>セッテイ</t>
    </rPh>
    <rPh sb="45" eb="47">
      <t>ソウシン</t>
    </rPh>
    <rPh sb="47" eb="48">
      <t>ジ</t>
    </rPh>
    <rPh sb="53" eb="55">
      <t>フヨ</t>
    </rPh>
    <rPh sb="61" eb="63">
      <t>カクニン</t>
    </rPh>
    <phoneticPr fontId="2"/>
  </si>
  <si>
    <t xml:space="preserve">バッファリング設定なしの、Content-lengthの取得の確認
</t>
    <phoneticPr fontId="2"/>
  </si>
  <si>
    <t xml:space="preserve">バッファリング設定ありの、Content-lengthの取得の確認
</t>
    <phoneticPr fontId="2"/>
  </si>
  <si>
    <t>①入力値は以下の通り
name: test0101
age: 30
②送信ボタン押下</t>
    <rPh sb="1" eb="3">
      <t>ニュウリョク</t>
    </rPh>
    <rPh sb="3" eb="4">
      <t>アタイ</t>
    </rPh>
    <rPh sb="5" eb="7">
      <t>イカ</t>
    </rPh>
    <rPh sb="8" eb="9">
      <t>トオ</t>
    </rPh>
    <rPh sb="35" eb="37">
      <t>ソウシン</t>
    </rPh>
    <rPh sb="40" eb="42">
      <t>オウカ</t>
    </rPh>
    <phoneticPr fontId="2"/>
  </si>
  <si>
    <t>①入力値は以下の通り
message: send byte
②送信ボタン押下</t>
    <phoneticPr fontId="2"/>
  </si>
  <si>
    <t>①入力値は以下の通り
message: sendString
②送信ボタン押下</t>
    <phoneticPr fontId="2"/>
  </si>
  <si>
    <t>①入力値は以下の通り
message: send resource
②送信ボタン押下</t>
    <phoneticPr fontId="2"/>
  </si>
  <si>
    <t>①入力値は以下の通り
name: test0204
age: 20
②送信ボタン押下</t>
    <phoneticPr fontId="2"/>
  </si>
  <si>
    <t>①入力値は以下の通り
name: test0205
age: 20
②送信ボタン押下</t>
    <phoneticPr fontId="2"/>
  </si>
  <si>
    <t>①入力値は以下の通り
name: test0206
age: 20
②送信ボタン押下</t>
    <phoneticPr fontId="2"/>
  </si>
  <si>
    <t xml:space="preserve">REST APIを呼び出し、JSONでJavaBeanの送受信を行うことで、JacksonJsonHttpMessageConverterが適用されたことを確認する。
</t>
    <rPh sb="28" eb="31">
      <t>ソウジュシン</t>
    </rPh>
    <rPh sb="32" eb="33">
      <t>オコナ</t>
    </rPh>
    <phoneticPr fontId="2"/>
  </si>
  <si>
    <t>RSCL0207</t>
    <phoneticPr fontId="2"/>
  </si>
  <si>
    <t>①入力値は以下の通り
name: test0209
age: 20
②送信ボタン押下</t>
    <phoneticPr fontId="2"/>
  </si>
  <si>
    <t>RSCL0208</t>
    <phoneticPr fontId="2"/>
  </si>
  <si>
    <t>①入力値は以下の通り
name: test0211
age: 20
②送信ボタン押下</t>
    <phoneticPr fontId="2"/>
  </si>
  <si>
    <t xml:space="preserve">BaseURLを設定し、相対URLでのアクセスを確認
</t>
    <phoneticPr fontId="2"/>
  </si>
  <si>
    <t xml:space="preserve">BaseURLを設定し、絶対URLでのアクセスを確認
</t>
    <phoneticPr fontId="2"/>
  </si>
  <si>
    <t>テストアプリ内部では相対URLで指定</t>
    <rPh sb="6" eb="8">
      <t>ナイブ</t>
    </rPh>
    <rPh sb="10" eb="12">
      <t>ソウタイ</t>
    </rPh>
    <rPh sb="16" eb="18">
      <t>シテイ</t>
    </rPh>
    <phoneticPr fontId="2"/>
  </si>
  <si>
    <t>テストアプリ内部では絶対URLで指定</t>
    <rPh sb="6" eb="8">
      <t>ナイブ</t>
    </rPh>
    <rPh sb="10" eb="12">
      <t>ゼッタイ</t>
    </rPh>
    <rPh sb="16" eb="18">
      <t>シテイ</t>
    </rPh>
    <phoneticPr fontId="2"/>
  </si>
  <si>
    <t>以下の１行が書き込まれたファイルを、byte配列に変換してREST APIへ送信する。
  １行目：send byte\r\n</t>
    <phoneticPr fontId="2"/>
  </si>
  <si>
    <t>以下文字列をREST APIへ送信する。
  文字列：sendString</t>
    <phoneticPr fontId="2"/>
  </si>
  <si>
    <t>以下の１行が書き込まれたファイルを、FileSystemResourceに格納してREST APIへ送信する。
  １行目：send resource\r\n</t>
    <phoneticPr fontId="2"/>
  </si>
  <si>
    <t>以下のXMLが書き込まれたDOMSourceを作成してREST APIへ送信する。
  &lt;user&gt;
    &lt;name&gt;test&lt;/name&gt;
    &lt;age&gt;20&lt;/age&gt;
  &lt;/user&gt;</t>
    <phoneticPr fontId="2"/>
  </si>
  <si>
    <t>以下のMultiValueMap&lt;String, String&gt;を作成してREST APIへ送信する。
 キー：値
   name：test0205
   age：20</t>
    <phoneticPr fontId="2"/>
  </si>
  <si>
    <t>以下のMultiValueMap&lt;String, Object&gt;を作成してREST APIへ送信する。
 キー：値
   name：test0205
   age：20</t>
    <phoneticPr fontId="2"/>
  </si>
  <si>
    <t>以下のオブジェクトを作成し、REST APIへ送信する。
　Userオブジェクト
　　name = "test0209"
　　age = 20</t>
    <phoneticPr fontId="2"/>
  </si>
  <si>
    <t>以下のオブジェクトを作成し、REST APIへ送信する。
　Userオブジェクト
　　name = "test0211"
　　age = 20</t>
    <phoneticPr fontId="2"/>
  </si>
  <si>
    <t>GETメソッドを指定して、単一件のデータの取得を確認</t>
    <phoneticPr fontId="2"/>
  </si>
  <si>
    <t>GETメソッドを指定して、複数件のデータの取得を確認</t>
    <phoneticPr fontId="2"/>
  </si>
  <si>
    <t>テストアプリ内でGETメソッドを指定</t>
    <rPh sb="6" eb="7">
      <t>ナイ</t>
    </rPh>
    <rPh sb="16" eb="18">
      <t>シテイ</t>
    </rPh>
    <phoneticPr fontId="2"/>
  </si>
  <si>
    <t>テストアプリ内でPOSTメソッドを指定</t>
    <rPh sb="6" eb="7">
      <t>ナイ</t>
    </rPh>
    <rPh sb="17" eb="19">
      <t>シテイ</t>
    </rPh>
    <phoneticPr fontId="2"/>
  </si>
  <si>
    <t>テストアプリ内でPUTメソッドを指定</t>
    <rPh sb="6" eb="7">
      <t>ナイ</t>
    </rPh>
    <rPh sb="16" eb="18">
      <t>シテイ</t>
    </rPh>
    <phoneticPr fontId="2"/>
  </si>
  <si>
    <t>テストアプリ内でPATCHメソッドを指定</t>
    <rPh sb="6" eb="7">
      <t>ナイ</t>
    </rPh>
    <rPh sb="18" eb="20">
      <t>シテイ</t>
    </rPh>
    <phoneticPr fontId="2"/>
  </si>
  <si>
    <t>テストアプリ内でDELETEメソッドを指定</t>
    <rPh sb="6" eb="7">
      <t>ナイ</t>
    </rPh>
    <rPh sb="19" eb="21">
      <t>シテイ</t>
    </rPh>
    <phoneticPr fontId="2"/>
  </si>
  <si>
    <t>テストアプリ内でHEADメソッドを指定</t>
    <rPh sb="6" eb="7">
      <t>ナイ</t>
    </rPh>
    <rPh sb="17" eb="19">
      <t>シテイ</t>
    </rPh>
    <phoneticPr fontId="2"/>
  </si>
  <si>
    <t>①入力値は以下の通り
name: test0403
age: 20
②送信ボタン押下</t>
    <rPh sb="1" eb="3">
      <t>ニュウリョク</t>
    </rPh>
    <rPh sb="3" eb="4">
      <t>アタイ</t>
    </rPh>
    <rPh sb="5" eb="7">
      <t>イカ</t>
    </rPh>
    <rPh sb="8" eb="9">
      <t>トオ</t>
    </rPh>
    <rPh sb="35" eb="37">
      <t>ソウシン</t>
    </rPh>
    <rPh sb="40" eb="42">
      <t>オウカ</t>
    </rPh>
    <phoneticPr fontId="2"/>
  </si>
  <si>
    <t>①入力値は以下の通り
name: test0404
age: 20
②送信ボタン押下</t>
    <rPh sb="1" eb="3">
      <t>ニュウリョク</t>
    </rPh>
    <rPh sb="3" eb="4">
      <t>アタイ</t>
    </rPh>
    <rPh sb="5" eb="7">
      <t>イカ</t>
    </rPh>
    <rPh sb="8" eb="9">
      <t>トオ</t>
    </rPh>
    <rPh sb="35" eb="37">
      <t>ソウシン</t>
    </rPh>
    <rPh sb="40" eb="42">
      <t>オウカ</t>
    </rPh>
    <phoneticPr fontId="2"/>
  </si>
  <si>
    <t>①入力値は以下の通り
name: test0405
age: 20
②送信ボタン押下</t>
    <rPh sb="1" eb="3">
      <t>ニュウリョク</t>
    </rPh>
    <rPh sb="3" eb="4">
      <t>アタイ</t>
    </rPh>
    <rPh sb="5" eb="7">
      <t>イカ</t>
    </rPh>
    <rPh sb="8" eb="9">
      <t>トオ</t>
    </rPh>
    <rPh sb="35" eb="37">
      <t>ソウシン</t>
    </rPh>
    <rPh sb="40" eb="42">
      <t>オウカ</t>
    </rPh>
    <phoneticPr fontId="2"/>
  </si>
  <si>
    <t>※メニューからリンクを押下するのみ</t>
    <rPh sb="11" eb="13">
      <t>オウカ</t>
    </rPh>
    <phoneticPr fontId="2"/>
  </si>
  <si>
    <t>エラーハンドリング(try-catch)を実装し、レスポンスのステータスが200で返却された場合の挙動を確認</t>
  </si>
  <si>
    <t>エラーハンドリング(try-catch)を実装し、レスポンスのステータスが400系で返却された場合の挙動を確認</t>
  </si>
  <si>
    <t>エラーハンドリング(try-catch)を実装し、レスポンスのステータスが500系で返却された場合の挙動を確認</t>
  </si>
  <si>
    <t>エラーハンドリング(try-catch)を実装し、レスポンスのステータスがユーザー定義のコードで返却された場合の挙動を確認</t>
  </si>
  <si>
    <t>例外で判定を行うリトライ処理を実装して、リトライ回数が上限に到達しない場合、処理が正常終了するかを確認　（ガイドラインの独自実装の確認）</t>
  </si>
  <si>
    <t>例外で判定を行うリトライ処理を実装して、リトライ回数が上限に到達した場合、処理が異常終了するかを確認　（ガイドラインの独自実装の確認）</t>
  </si>
  <si>
    <t>ステータスコードで判定するロジックを実装し、レスポンスのステータスが200で返却された場合の挙動を確認</t>
  </si>
  <si>
    <t>ステータスコードで判定するロジックを実装し、レスポンスのステータスが400系で返却された場合の挙動を確認</t>
  </si>
  <si>
    <t>ステータスコードで判定するロジックを実装し、レスポンスのステータスが500系で返却された場合の挙動を確認</t>
  </si>
  <si>
    <t>ステータスコードで判定を行うリトライ処理を実装して、リトライ回数が上限に到達しない場合、処理が正常終了するかを確認　（ガイドラインの独自実装の確認）</t>
  </si>
  <si>
    <t>ステータスコードで判定を行うリトライ処理を実装して、リトライ回数が上限に到達した場合、処理が異常終了するかを確認　（ガイドラインの独自実装の確認）</t>
  </si>
  <si>
    <t>RSCL0407</t>
    <phoneticPr fontId="2"/>
  </si>
  <si>
    <t>RSCL0503</t>
    <phoneticPr fontId="2"/>
  </si>
  <si>
    <t>RSCL0504</t>
  </si>
  <si>
    <t>RSCL0505</t>
  </si>
  <si>
    <t>RSCL0506</t>
  </si>
  <si>
    <t>RSCL0507</t>
  </si>
  <si>
    <t>RSCL0508</t>
  </si>
  <si>
    <t>RSCL0509</t>
  </si>
  <si>
    <t>RSCL0510</t>
  </si>
  <si>
    <t>RSCL0511</t>
  </si>
  <si>
    <t>RSCL0512</t>
  </si>
  <si>
    <t>リトライ3回目で正常なレスポンスを受信する</t>
    <rPh sb="5" eb="7">
      <t>カイメ</t>
    </rPh>
    <rPh sb="8" eb="10">
      <t>セイジョウ</t>
    </rPh>
    <rPh sb="17" eb="19">
      <t>ジュシン</t>
    </rPh>
    <phoneticPr fontId="2"/>
  </si>
  <si>
    <t>テストアプリ内でレスポンスのステータスコードを200で返却</t>
    <rPh sb="6" eb="7">
      <t>ナイ</t>
    </rPh>
    <rPh sb="27" eb="29">
      <t>ヘンキャク</t>
    </rPh>
    <phoneticPr fontId="2"/>
  </si>
  <si>
    <t>テストアプリ内でレスポンスのステータスコードを404で返却</t>
    <rPh sb="6" eb="7">
      <t>ナイ</t>
    </rPh>
    <rPh sb="27" eb="29">
      <t>ヘンキャク</t>
    </rPh>
    <phoneticPr fontId="2"/>
  </si>
  <si>
    <t>テストアプリ内でレスポンスのステータスコードを500で返却</t>
    <rPh sb="6" eb="7">
      <t>ナイ</t>
    </rPh>
    <rPh sb="27" eb="29">
      <t>ヘンキャク</t>
    </rPh>
    <phoneticPr fontId="2"/>
  </si>
  <si>
    <t>テストアプリ内でレスポンスのステータスコードを901で返却</t>
    <rPh sb="6" eb="7">
      <t>ナイ</t>
    </rPh>
    <rPh sb="27" eb="29">
      <t>ヘンキャク</t>
    </rPh>
    <phoneticPr fontId="2"/>
  </si>
  <si>
    <t>リトライ4回目で正常なレスポンスを受信する</t>
    <rPh sb="5" eb="7">
      <t>カイメ</t>
    </rPh>
    <rPh sb="8" eb="10">
      <t>セイジョウ</t>
    </rPh>
    <rPh sb="17" eb="19">
      <t>ジュシン</t>
    </rPh>
    <phoneticPr fontId="2"/>
  </si>
  <si>
    <t>RSCL0601</t>
    <phoneticPr fontId="2"/>
  </si>
  <si>
    <t>共通リクエストヘッダの設定を行い、リクエストヘッダが付与されるかを確認</t>
    <phoneticPr fontId="2"/>
  </si>
  <si>
    <t>アプリ内の設定で以下のヘッダを付与。
Custom-Header：CustomHeaderValue</t>
    <rPh sb="3" eb="4">
      <t>ナイ</t>
    </rPh>
    <rPh sb="5" eb="7">
      <t>セッテイ</t>
    </rPh>
    <rPh sb="8" eb="10">
      <t>イカ</t>
    </rPh>
    <rPh sb="15" eb="17">
      <t>フヨ</t>
    </rPh>
    <phoneticPr fontId="2"/>
  </si>
  <si>
    <t>RSCL0701</t>
    <phoneticPr fontId="2"/>
  </si>
  <si>
    <t>RSCL0702</t>
    <phoneticPr fontId="2"/>
  </si>
  <si>
    <t>RSCL0703</t>
  </si>
  <si>
    <t>アプリ内の設定で以下のヘッダを付与。
Authorization：Basic 資格情報</t>
    <rPh sb="3" eb="4">
      <t>ナイ</t>
    </rPh>
    <rPh sb="5" eb="7">
      <t>セッテイ</t>
    </rPh>
    <rPh sb="8" eb="10">
      <t>イカ</t>
    </rPh>
    <rPh sb="15" eb="17">
      <t>フヨ</t>
    </rPh>
    <rPh sb="39" eb="43">
      <t>シカクジョウホウ</t>
    </rPh>
    <phoneticPr fontId="2"/>
  </si>
  <si>
    <t>アプリ内の設定で以下のヘッダを付与。
Authorization：Basic 資格情報（誤り）</t>
    <rPh sb="3" eb="4">
      <t>ナイ</t>
    </rPh>
    <rPh sb="5" eb="7">
      <t>セッテイ</t>
    </rPh>
    <rPh sb="8" eb="10">
      <t>イカ</t>
    </rPh>
    <rPh sb="15" eb="17">
      <t>フヨ</t>
    </rPh>
    <rPh sb="39" eb="43">
      <t>シカクジョウホウ</t>
    </rPh>
    <rPh sb="44" eb="45">
      <t>アヤマ</t>
    </rPh>
    <phoneticPr fontId="2"/>
  </si>
  <si>
    <t>Connect Timeoutを設定し、指定した時間でコネクション確立のタイムアウトが発生することを確認</t>
    <phoneticPr fontId="2"/>
  </si>
  <si>
    <t>Read Timeoutを設定し、指定した時間でレスポンス受信のタイムアウトが発生することを確認</t>
    <phoneticPr fontId="2"/>
  </si>
  <si>
    <t>URLの接続先がアクセスできないドメインとなっている</t>
    <rPh sb="4" eb="7">
      <t>セツゾクサキ</t>
    </rPh>
    <phoneticPr fontId="2"/>
  </si>
  <si>
    <t>レスポンスがタイムアウト上限を超えるように、アプリ内でスリープを行う。</t>
    <rPh sb="12" eb="14">
      <t>ジョウゲン</t>
    </rPh>
    <rPh sb="15" eb="16">
      <t>コ</t>
    </rPh>
    <phoneticPr fontId="2"/>
  </si>
  <si>
    <t>ファイルのアップロードを確認</t>
    <phoneticPr fontId="2"/>
  </si>
  <si>
    <t xml:space="preserve">レスポンスボディをByte型で受信して、ファイルダウンロードを行えるかを確認
</t>
    <phoneticPr fontId="2"/>
  </si>
  <si>
    <t>レスポンスボディをResource型で受信して、ファイルダウンロードを行えるかを確認</t>
    <phoneticPr fontId="2"/>
  </si>
  <si>
    <t xml:space="preserve">レスポンスボディをInputStream型で受信して、ファイルダウンロードを行えるかを確認
</t>
    <phoneticPr fontId="2"/>
  </si>
  <si>
    <t>ResponseExtractorにてレスポンスボディをInputStreamで取得する</t>
    <rPh sb="40" eb="42">
      <t>シュトク</t>
    </rPh>
    <phoneticPr fontId="2"/>
  </si>
  <si>
    <t>アプリ内でByte型でレスポンスボディを受信する。</t>
    <rPh sb="3" eb="4">
      <t>ナイ</t>
    </rPh>
    <rPh sb="9" eb="10">
      <t>ガタ</t>
    </rPh>
    <rPh sb="20" eb="22">
      <t>ジュシン</t>
    </rPh>
    <phoneticPr fontId="2"/>
  </si>
  <si>
    <t>アプリ内でResource型でレスポンスボディを受信する。</t>
    <rPh sb="3" eb="4">
      <t>ナイ</t>
    </rPh>
    <rPh sb="13" eb="14">
      <t>ガタ</t>
    </rPh>
    <rPh sb="24" eb="26">
      <t>ジュシン</t>
    </rPh>
    <phoneticPr fontId="2"/>
  </si>
  <si>
    <t>RSCL1002</t>
    <phoneticPr fontId="2"/>
  </si>
  <si>
    <t>RSCL1003</t>
    <phoneticPr fontId="2"/>
  </si>
  <si>
    <t>RSCL1004</t>
    <phoneticPr fontId="2"/>
  </si>
  <si>
    <t>RSCL0801</t>
    <phoneticPr fontId="2"/>
  </si>
  <si>
    <t>RSCL0802</t>
    <phoneticPr fontId="2"/>
  </si>
  <si>
    <t>呼び出し時に以下のヘッダを付与。
Custom-Header：Custom-Value</t>
    <rPh sb="0" eb="1">
      <t>ヨ</t>
    </rPh>
    <rPh sb="2" eb="3">
      <t>ダ</t>
    </rPh>
    <rPh sb="4" eb="5">
      <t>ジ</t>
    </rPh>
    <rPh sb="6" eb="8">
      <t>イカ</t>
    </rPh>
    <rPh sb="13" eb="15">
      <t>フヨ</t>
    </rPh>
    <phoneticPr fontId="2"/>
  </si>
  <si>
    <t xml:space="preserve">クライアント実行時にリクエストヘッダの設定を行い、リクエストヘッダ（Content-Type）が付与されるかを確認
</t>
    <phoneticPr fontId="2"/>
  </si>
  <si>
    <t>クライアント実行時にリクエストヘッダの設定を行い、リクエストヘッダ（Accept）が付与されるかを確認</t>
    <phoneticPr fontId="2"/>
  </si>
  <si>
    <t>クライアント実行時にリクエストヘッダの設定を行い、リクエストヘッダ（カスタムヘッダ）が付与されるかを確認</t>
    <phoneticPr fontId="2"/>
  </si>
  <si>
    <t>呼び出し時に以下のヘッダを付与。
Content-Type：application/json</t>
    <rPh sb="0" eb="1">
      <t>ヨ</t>
    </rPh>
    <rPh sb="2" eb="3">
      <t>ダ</t>
    </rPh>
    <rPh sb="4" eb="5">
      <t>ジ</t>
    </rPh>
    <rPh sb="6" eb="8">
      <t>イカ</t>
    </rPh>
    <rPh sb="13" eb="15">
      <t>フヨ</t>
    </rPh>
    <phoneticPr fontId="2"/>
  </si>
  <si>
    <t>呼び出し時に以下のヘッダを付与。
Accept：application/json</t>
    <rPh sb="0" eb="1">
      <t>ヨ</t>
    </rPh>
    <rPh sb="2" eb="3">
      <t>ダ</t>
    </rPh>
    <rPh sb="4" eb="5">
      <t>ジ</t>
    </rPh>
    <rPh sb="6" eb="8">
      <t>イカ</t>
    </rPh>
    <rPh sb="13" eb="15">
      <t>フヨ</t>
    </rPh>
    <phoneticPr fontId="2"/>
  </si>
  <si>
    <t>呼び出し時に以下のヘッダを付与。
Custom-Header：CustomValue</t>
    <rPh sb="0" eb="1">
      <t>ヨ</t>
    </rPh>
    <rPh sb="2" eb="3">
      <t>ダ</t>
    </rPh>
    <rPh sb="4" eb="5">
      <t>ジ</t>
    </rPh>
    <rPh sb="6" eb="8">
      <t>イカ</t>
    </rPh>
    <rPh sb="13" eb="15">
      <t>フヨ</t>
    </rPh>
    <phoneticPr fontId="2"/>
  </si>
  <si>
    <t>①入力値は以下の通り
name: test1201
age: 35
②送信ボタン押下</t>
    <rPh sb="1" eb="3">
      <t>ニュウリョク</t>
    </rPh>
    <rPh sb="3" eb="4">
      <t>アタイ</t>
    </rPh>
    <rPh sb="5" eb="7">
      <t>イカ</t>
    </rPh>
    <rPh sb="8" eb="9">
      <t>トオ</t>
    </rPh>
    <rPh sb="35" eb="37">
      <t>ソウシン</t>
    </rPh>
    <rPh sb="40" eb="42">
      <t>オウカ</t>
    </rPh>
    <phoneticPr fontId="2"/>
  </si>
  <si>
    <t>リクエスト送信時に、URLに日付(LocalDate）を設定する。</t>
    <rPh sb="5" eb="8">
      <t>ソウシンジ</t>
    </rPh>
    <rPh sb="14" eb="16">
      <t>ヒヅケ</t>
    </rPh>
    <rPh sb="28" eb="30">
      <t>セッテイ</t>
    </rPh>
    <phoneticPr fontId="2"/>
  </si>
  <si>
    <t>RSCL1203</t>
    <phoneticPr fontId="2"/>
  </si>
  <si>
    <t>RSCL1403</t>
    <phoneticPr fontId="2"/>
  </si>
  <si>
    <t>RSCL1404</t>
    <phoneticPr fontId="2"/>
  </si>
  <si>
    <t>RSCL1405</t>
    <phoneticPr fontId="2"/>
  </si>
  <si>
    <t>RSCL1406</t>
    <phoneticPr fontId="2"/>
  </si>
  <si>
    <t>RSCL1601</t>
    <phoneticPr fontId="2"/>
  </si>
  <si>
    <t>独自のメディアタイプを設定したカスタムコンバータを作成し、カスタムコンバータで実装した変換処理が行われるかを確認</t>
    <phoneticPr fontId="2"/>
  </si>
  <si>
    <t>既存のメディアタイプ（application/json）に対して、別のHttpMessageConverterを設定し変換処理が切り替わるかを確認</t>
    <phoneticPr fontId="2"/>
  </si>
  <si>
    <t>RSCL1602</t>
    <phoneticPr fontId="2"/>
  </si>
  <si>
    <t>呼び出し時に以下のヘッダを付与。
Accept：text/csv</t>
    <rPh sb="0" eb="1">
      <t>ヨ</t>
    </rPh>
    <rPh sb="2" eb="3">
      <t>ダ</t>
    </rPh>
    <rPh sb="4" eb="5">
      <t>ジ</t>
    </rPh>
    <rPh sb="6" eb="8">
      <t>イカ</t>
    </rPh>
    <rPh sb="13" eb="15">
      <t>フヨ</t>
    </rPh>
    <phoneticPr fontId="2"/>
  </si>
  <si>
    <t>呼び出し時に以下のヘッダを付与。
Content-Type：application/json
Accept：application/json</t>
    <rPh sb="0" eb="1">
      <t>ヨ</t>
    </rPh>
    <rPh sb="2" eb="3">
      <t>ダ</t>
    </rPh>
    <rPh sb="4" eb="5">
      <t>ジ</t>
    </rPh>
    <rPh sb="6" eb="8">
      <t>イカ</t>
    </rPh>
    <rPh sb="13" eb="15">
      <t>フヨ</t>
    </rPh>
    <phoneticPr fontId="2"/>
  </si>
  <si>
    <t>①入力値は以下の通り
name: test1601
age: 33
②送信ボタン押下</t>
    <rPh sb="1" eb="3">
      <t>ニュウリョク</t>
    </rPh>
    <rPh sb="3" eb="4">
      <t>アタイ</t>
    </rPh>
    <rPh sb="5" eb="7">
      <t>イカ</t>
    </rPh>
    <rPh sb="8" eb="9">
      <t>トオ</t>
    </rPh>
    <rPh sb="35" eb="37">
      <t>ソウシン</t>
    </rPh>
    <rPh sb="40" eb="42">
      <t>オウカ</t>
    </rPh>
    <phoneticPr fontId="2"/>
  </si>
  <si>
    <t xml:space="preserve">バッファリングされていないことを確認
①確認画面に遷移すること
②出力値は以下の通りとなること
name: test0101_created
age: 30
③Content-Lengthがnullとなること
</t>
    <rPh sb="16" eb="18">
      <t>カクニン</t>
    </rPh>
    <rPh sb="20" eb="24">
      <t>カクニンガメン</t>
    </rPh>
    <rPh sb="25" eb="27">
      <t>センイ</t>
    </rPh>
    <rPh sb="33" eb="35">
      <t>シュツリョク</t>
    </rPh>
    <rPh sb="35" eb="36">
      <t>アタイ</t>
    </rPh>
    <rPh sb="37" eb="39">
      <t>イカ</t>
    </rPh>
    <rPh sb="40" eb="41">
      <t>トオ</t>
    </rPh>
    <phoneticPr fontId="2"/>
  </si>
  <si>
    <t>メディアタイプに対応していない変換は失敗することを確認。
①システムエラーの画面に遷移すること
②org.springframework.web.HttpMediaTypeNotSupportedExceptionが発生していること</t>
    <rPh sb="18" eb="20">
      <t>シッパイ</t>
    </rPh>
    <rPh sb="25" eb="27">
      <t>カクニン</t>
    </rPh>
    <rPh sb="38" eb="40">
      <t>ガメン</t>
    </rPh>
    <rPh sb="41" eb="43">
      <t>センイ</t>
    </rPh>
    <rPh sb="108" eb="110">
      <t>ハッセイ</t>
    </rPh>
    <phoneticPr fontId="2"/>
  </si>
  <si>
    <t>認証が失敗することを確認
①システムエラー画面に遷移すること
②以下例外が発生していること。
org.springframework.web.client.HttpClientErrorException</t>
    <rPh sb="3" eb="5">
      <t>シッパイ</t>
    </rPh>
    <rPh sb="32" eb="34">
      <t>イカ</t>
    </rPh>
    <rPh sb="34" eb="36">
      <t>レイガイ</t>
    </rPh>
    <rPh sb="37" eb="39">
      <t>ハッセイ</t>
    </rPh>
    <phoneticPr fontId="2"/>
  </si>
  <si>
    <t>認証が失敗することを確認
①システムエラー画面に遷移すること
②以下例外が発生していること。
org.springframework.web.client.HttpClientErrorException</t>
    <rPh sb="32" eb="34">
      <t>イカ</t>
    </rPh>
    <rPh sb="34" eb="36">
      <t>レイガイ</t>
    </rPh>
    <rPh sb="37" eb="39">
      <t>ハッセイ</t>
    </rPh>
    <phoneticPr fontId="2"/>
  </si>
  <si>
    <t>タイムアウトが発生することを確認。
①システムエラー画面に遷移すること
②以下例外が発生していること。
org.springframework.web.client.ResourceAccessException
③内包されている例外が以下の通りであること。
org.apache.hc.client5.http.ConnectTimeoutException</t>
    <rPh sb="7" eb="9">
      <t>ハッセイ</t>
    </rPh>
    <rPh sb="14" eb="16">
      <t>カクニン</t>
    </rPh>
    <rPh sb="37" eb="39">
      <t>イカ</t>
    </rPh>
    <rPh sb="39" eb="41">
      <t>レイガイ</t>
    </rPh>
    <rPh sb="42" eb="44">
      <t>ハッセイ</t>
    </rPh>
    <rPh sb="108" eb="110">
      <t>ナイホウ</t>
    </rPh>
    <rPh sb="115" eb="117">
      <t>レイガイ</t>
    </rPh>
    <rPh sb="118" eb="120">
      <t>イカ</t>
    </rPh>
    <rPh sb="121" eb="122">
      <t>トオ</t>
    </rPh>
    <phoneticPr fontId="2"/>
  </si>
  <si>
    <t>リクエスト、レスポンスログを出力するInterceptorを設定し、正常にログが出力されるかを確認</t>
    <phoneticPr fontId="2"/>
  </si>
  <si>
    <t>RSCL1701</t>
    <phoneticPr fontId="2"/>
  </si>
  <si>
    <t>①入力値は以下の通り
name: test1701
age: 32
②送信ボタン押下</t>
    <rPh sb="1" eb="3">
      <t>ニュウリョク</t>
    </rPh>
    <rPh sb="3" eb="4">
      <t>アタイ</t>
    </rPh>
    <rPh sb="5" eb="7">
      <t>イカ</t>
    </rPh>
    <rPh sb="8" eb="9">
      <t>トオ</t>
    </rPh>
    <rPh sb="35" eb="37">
      <t>ソウシン</t>
    </rPh>
    <rPh sb="40" eb="42">
      <t>オウカ</t>
    </rPh>
    <phoneticPr fontId="2"/>
  </si>
  <si>
    <t>URLの一部に埋め込み文字を定義し、リクエスト送信時（getForObject）にURLに値が埋め込まれるかを確認</t>
    <phoneticPr fontId="2"/>
  </si>
  <si>
    <t>URLの一部に埋め込み文字を定義し、リクエスト送信時（exchange）にURLに値が埋め込まれるかを確認</t>
    <phoneticPr fontId="2"/>
  </si>
  <si>
    <t>アプリ内でURLに埋め込み文字を設定する</t>
    <rPh sb="3" eb="4">
      <t>ナイ</t>
    </rPh>
    <rPh sb="9" eb="10">
      <t>ウ</t>
    </rPh>
    <rPh sb="11" eb="12">
      <t>コ</t>
    </rPh>
    <rPh sb="13" eb="15">
      <t>モジ</t>
    </rPh>
    <rPh sb="16" eb="18">
      <t>セッテイ</t>
    </rPh>
    <phoneticPr fontId="2"/>
  </si>
  <si>
    <t>①入力値は以下の通り
name: test1802
age: 31
②送信ボタン押下</t>
    <rPh sb="1" eb="3">
      <t>ニュウリョク</t>
    </rPh>
    <rPh sb="3" eb="4">
      <t>アタイ</t>
    </rPh>
    <rPh sb="5" eb="7">
      <t>イカ</t>
    </rPh>
    <rPh sb="8" eb="9">
      <t>トオ</t>
    </rPh>
    <rPh sb="35" eb="37">
      <t>ソウシン</t>
    </rPh>
    <rPh sb="40" eb="42">
      <t>オウカ</t>
    </rPh>
    <phoneticPr fontId="2"/>
  </si>
  <si>
    <t>RSCL1801</t>
    <phoneticPr fontId="2"/>
  </si>
  <si>
    <t>RSCL1802</t>
    <phoneticPr fontId="2"/>
  </si>
  <si>
    <t>RSCL1901</t>
    <phoneticPr fontId="2"/>
  </si>
  <si>
    <t>RSCL1902</t>
    <phoneticPr fontId="2"/>
  </si>
  <si>
    <t>Proxyの設定を行い、認証なしのProxyに対してアクセスが行えるかを確認</t>
    <phoneticPr fontId="2"/>
  </si>
  <si>
    <t>正しい資格情報のProxy設定を行い、認証ありのProxyに対してアクセスができるかを確認</t>
    <phoneticPr fontId="2"/>
  </si>
  <si>
    <t>誤った資格情報のProxy設定を行い、認証ありのProxyに対してアクセスが失敗するかを確認</t>
    <phoneticPr fontId="2"/>
  </si>
  <si>
    <t>RSCL1903</t>
    <phoneticPr fontId="2"/>
  </si>
  <si>
    <t>Proxyで認証エラーとなり、RestAPIへアクセスができないことを確認。
①システムエラー画面に遷移すること
②Proxyで認証が失敗したログが出力されていること。
③以下の例外が発生することを確認。
org.springframework.web.client.HttpClientErrorException</t>
    <rPh sb="6" eb="8">
      <t>ニンショウ</t>
    </rPh>
    <rPh sb="50" eb="52">
      <t>センイ</t>
    </rPh>
    <rPh sb="64" eb="66">
      <t>ニンショウ</t>
    </rPh>
    <rPh sb="67" eb="69">
      <t>シッパイ</t>
    </rPh>
    <rPh sb="86" eb="88">
      <t>イカ</t>
    </rPh>
    <rPh sb="89" eb="91">
      <t>レイガイ</t>
    </rPh>
    <rPh sb="92" eb="94">
      <t>ハッセイ</t>
    </rPh>
    <rPh sb="99" eb="101">
      <t>カクニン</t>
    </rPh>
    <phoneticPr fontId="2"/>
  </si>
  <si>
    <t>「RSCL14の試験内容図」シートの内容を参照</t>
    <rPh sb="18" eb="20">
      <t>ナイヨウ</t>
    </rPh>
    <rPh sb="21" eb="23">
      <t>サンショウ</t>
    </rPh>
    <phoneticPr fontId="2"/>
  </si>
  <si>
    <t>・アプリ内でContent-Typeにmultipart/form-dataを設定。
・ファイルをResource型に変換してマルチパートに設定。</t>
    <rPh sb="4" eb="5">
      <t>ナイ</t>
    </rPh>
    <rPh sb="39" eb="41">
      <t>セッテイ</t>
    </rPh>
    <phoneticPr fontId="2"/>
  </si>
  <si>
    <t>①WebClientのbean定義を行う。</t>
    <rPh sb="15" eb="17">
      <t>テイギ</t>
    </rPh>
    <rPh sb="18" eb="19">
      <t>オコナ</t>
    </rPh>
    <phoneticPr fontId="2"/>
  </si>
  <si>
    <t>①WebClientのbean定義を行う。
②画面表示を非同期で実行できるようにサーバーを非同期モードで起動</t>
    <rPh sb="15" eb="17">
      <t>テイギ</t>
    </rPh>
    <rPh sb="18" eb="19">
      <t>オコナ</t>
    </rPh>
    <rPh sb="45" eb="48">
      <t>ヒドウキ</t>
    </rPh>
    <rPh sb="52" eb="54">
      <t>キドウ</t>
    </rPh>
    <phoneticPr fontId="2"/>
  </si>
  <si>
    <t>CompletableFutureを同期モード(get)で実行</t>
    <rPh sb="18" eb="20">
      <t>ドウキ</t>
    </rPh>
    <rPh sb="29" eb="31">
      <t>ジッコウ</t>
    </rPh>
    <phoneticPr fontId="2"/>
  </si>
  <si>
    <t>①送信ボタン押下</t>
    <rPh sb="1" eb="3">
      <t>ソウシン</t>
    </rPh>
    <rPh sb="5" eb="7">
      <t>オウカ</t>
    </rPh>
    <phoneticPr fontId="2"/>
  </si>
  <si>
    <t>RSCL4801</t>
    <phoneticPr fontId="2"/>
  </si>
  <si>
    <t>RSCL4802</t>
    <phoneticPr fontId="2"/>
  </si>
  <si>
    <t>エラーハンドリングの設定を行い、該当するステータスコードの場合にステータスハンドラーが実行されることを確認</t>
    <phoneticPr fontId="2"/>
  </si>
  <si>
    <t>クライアント実行時にエラーハンドリングの設定を行い、該当するステータスコードの場合にステータスハンドラーが実行されることを確認</t>
    <phoneticPr fontId="2"/>
  </si>
  <si>
    <t>非同期結果を受信するリスナーにてエラー処理を実装し、レスポンスのステータスが200で返却された場合の挙動を確認</t>
    <phoneticPr fontId="2"/>
  </si>
  <si>
    <t>非同期結果を受信するリスナーにてエラー処理を実装し、レスポンスのステータスが400系で返却された場合の挙動を確認</t>
    <phoneticPr fontId="2"/>
  </si>
  <si>
    <t>非同期結果を受信するリスナーにてエラー処理を実装し、レスポンスのステータスが500系で返却された場合の挙動を確認</t>
    <phoneticPr fontId="2"/>
  </si>
  <si>
    <t>非同期結果を受信するリスナーにてエラー処理を実装し、レスポンスのステータスがユーザー定義のコードで返却された場合の挙動を確認</t>
    <phoneticPr fontId="2"/>
  </si>
  <si>
    <t>非同期結果を受信するリスナーにてエラー処理を実装し、イベントループのストリーム処理中にエラーが発生した場合の挙動を確認</t>
    <phoneticPr fontId="2"/>
  </si>
  <si>
    <t>①WebClientのbean定義を行う。
②エラーをハンドルするdefaultStatusHandlerを設定する
③500系のエラーをハンドルするStatusHandlerを設定する
④画面表示を非同期で実行できるようにサーバーを非同期モードで起動</t>
    <rPh sb="54" eb="56">
      <t>セッテイ</t>
    </rPh>
    <phoneticPr fontId="2"/>
  </si>
  <si>
    <t>①WebClientのbean定義を行う。
②画面表示を非同期で実行できるようにサーバーを非同期モードで起動</t>
    <rPh sb="15" eb="17">
      <t>テイギ</t>
    </rPh>
    <rPh sb="18" eb="19">
      <t>オコナ</t>
    </rPh>
    <phoneticPr fontId="2"/>
  </si>
  <si>
    <t>①WebClientのbean定義を行う。
②画面表示を非同期で実行できるようにサーバーを非同期モードで起動
③ストリームからオブジェクトに展開するメモリサイズを1Mに設定。</t>
    <rPh sb="15" eb="17">
      <t>テイギ</t>
    </rPh>
    <rPh sb="18" eb="19">
      <t>オコナ</t>
    </rPh>
    <rPh sb="70" eb="72">
      <t>テンカイ</t>
    </rPh>
    <rPh sb="84" eb="86">
      <t>セッテイ</t>
    </rPh>
    <phoneticPr fontId="2"/>
  </si>
  <si>
    <t>1M以上のレコードを返却。</t>
    <rPh sb="2" eb="4">
      <t>イジョウ</t>
    </rPh>
    <rPh sb="10" eb="12">
      <t>ヘンキャク</t>
    </rPh>
    <phoneticPr fontId="2"/>
  </si>
  <si>
    <t>RSCL4901</t>
    <phoneticPr fontId="2"/>
  </si>
  <si>
    <t>RSCL4902</t>
    <phoneticPr fontId="2"/>
  </si>
  <si>
    <t>RSCL4903</t>
  </si>
  <si>
    <t>RSCL4904</t>
  </si>
  <si>
    <t>RSCL4905</t>
  </si>
  <si>
    <t>RSCL4906</t>
  </si>
  <si>
    <t>RSCL4907</t>
  </si>
  <si>
    <t>ログ出力をするExchangeFilterFunctionを設定し、リクエスト送信前のログが出力されることを確認</t>
    <phoneticPr fontId="2"/>
  </si>
  <si>
    <t>リクエストヘッダを付与するExchangeFilterFunctionを設定し、リクエスト送信時にヘッダが付与されることを確認</t>
    <phoneticPr fontId="2"/>
  </si>
  <si>
    <t>RSCL5001</t>
    <phoneticPr fontId="2"/>
  </si>
  <si>
    <t>RSCL5002</t>
    <phoneticPr fontId="2"/>
  </si>
  <si>
    <t>①WebClientのbean定義を行う。
②リクエストログを出力するExchangeFilterFunctionを作成。
③作成したExchangeFilterFunctionを設定
④画面表示を非同期で実行できるようにサーバーを非同期モードで起動</t>
    <rPh sb="31" eb="33">
      <t>シュツリョク</t>
    </rPh>
    <rPh sb="58" eb="60">
      <t>サクセイ</t>
    </rPh>
    <rPh sb="63" eb="65">
      <t>サクセイ</t>
    </rPh>
    <rPh sb="90" eb="92">
      <t>セッテイ</t>
    </rPh>
    <phoneticPr fontId="2"/>
  </si>
  <si>
    <t>①WebClientのbean定義を行う。
②カスタムヘッダを付与するExchangeFilterFunctionを作成。
③作成したExchangeFilterFunctionを設定
④画面表示を非同期で実行できるようにサーバーを非同期モードで起動</t>
    <rPh sb="31" eb="33">
      <t>フヨ</t>
    </rPh>
    <rPh sb="58" eb="60">
      <t>サクセイ</t>
    </rPh>
    <rPh sb="63" eb="65">
      <t>サクセイ</t>
    </rPh>
    <rPh sb="90" eb="92">
      <t>セッテイ</t>
    </rPh>
    <phoneticPr fontId="2"/>
  </si>
  <si>
    <t>①入力値は以下の通り
name: test5001
age: 33
②送信ボタン押下</t>
    <rPh sb="1" eb="3">
      <t>ニュウリョク</t>
    </rPh>
    <rPh sb="3" eb="4">
      <t>アタイ</t>
    </rPh>
    <rPh sb="5" eb="7">
      <t>イカ</t>
    </rPh>
    <rPh sb="8" eb="9">
      <t>トオ</t>
    </rPh>
    <rPh sb="35" eb="37">
      <t>ソウシン</t>
    </rPh>
    <rPh sb="40" eb="42">
      <t>オウカ</t>
    </rPh>
    <phoneticPr fontId="2"/>
  </si>
  <si>
    <t>レスポンスボディをInputStream型で受信して、404のステータスコードが返却された場合にエラーとなるかを確認</t>
    <rPh sb="20" eb="21">
      <t>カタ</t>
    </rPh>
    <rPh sb="22" eb="24">
      <t>ジュシン</t>
    </rPh>
    <rPh sb="40" eb="42">
      <t>ヘンキャク</t>
    </rPh>
    <rPh sb="45" eb="47">
      <t>バアイ</t>
    </rPh>
    <rPh sb="56" eb="58">
      <t>カクニン</t>
    </rPh>
    <phoneticPr fontId="2"/>
  </si>
  <si>
    <t>ResponseExtractorでレスポンス情報を設定し、異常なデータを受信時にエラーとなることを確認</t>
    <rPh sb="23" eb="25">
      <t>ジョウホウ</t>
    </rPh>
    <rPh sb="26" eb="28">
      <t>セッテイ</t>
    </rPh>
    <rPh sb="50" eb="52">
      <t>カクニン</t>
    </rPh>
    <phoneticPr fontId="2"/>
  </si>
  <si>
    <t>ResponseExtractorでレスポンス情報を設定し、呼び出し後に取得が行えるかを確認</t>
    <rPh sb="23" eb="25">
      <t>ジョウホウ</t>
    </rPh>
    <rPh sb="26" eb="28">
      <t>セッテイ</t>
    </rPh>
    <rPh sb="30" eb="31">
      <t>ヨ</t>
    </rPh>
    <rPh sb="32" eb="33">
      <t>ダ</t>
    </rPh>
    <rPh sb="34" eb="35">
      <t>ゴ</t>
    </rPh>
    <rPh sb="36" eb="38">
      <t>シュトク</t>
    </rPh>
    <rPh sb="39" eb="40">
      <t>オコナ</t>
    </rPh>
    <rPh sb="44" eb="46">
      <t>カクニン</t>
    </rPh>
    <phoneticPr fontId="2"/>
  </si>
  <si>
    <t>レスポンスボディをInputStream型で受信して、404のステータスコードが返却された場合にエラーとなるかを確認</t>
    <phoneticPr fontId="2"/>
  </si>
  <si>
    <t>・ResponseExtractorにてレスポンスボディをInputStreamで取得する
・テストアプリ内でレスポンスのステータスコードを404で返却</t>
    <rPh sb="41" eb="43">
      <t>シュトク</t>
    </rPh>
    <phoneticPr fontId="2"/>
  </si>
  <si>
    <t>RSCL1005</t>
  </si>
  <si>
    <t>RSCL1006</t>
  </si>
  <si>
    <t>ResponseExtractorでレスポンス情報を設定し、呼び出し後に取得が行えるかを確認</t>
    <phoneticPr fontId="2"/>
  </si>
  <si>
    <t>ResponseExtractorでレスポンス情報を設定し、異常なデータを受信時にエラーとなることを確認</t>
    <phoneticPr fontId="2"/>
  </si>
  <si>
    <t>特定の型でデータをダウンロードできることを確認。
①確認画面に遷移すること
②出力件数が1000であること
③出力値は以下の通りとなること。
name:test0
age:30
～
name:test999
age30
④対向先のRestAPIが正しく呼ばれること。</t>
    <rPh sb="39" eb="41">
      <t>シュツリョク</t>
    </rPh>
    <rPh sb="41" eb="43">
      <t>ケンスウ</t>
    </rPh>
    <phoneticPr fontId="2"/>
  </si>
  <si>
    <t>エラーとなることを確認。
①システムエラー画面に遷移すること
②対向先のRestAPIが正しく呼ばれること。
③catchした例外は、org.springframework.web.client.HttpClientErrorExceptionであること。</t>
    <rPh sb="9" eb="11">
      <t>カクニン</t>
    </rPh>
    <rPh sb="63" eb="65">
      <t>レイガイ</t>
    </rPh>
    <phoneticPr fontId="2"/>
  </si>
  <si>
    <t>①RestTemplateのbean定義を行う。</t>
    <rPh sb="21" eb="22">
      <t>オコナ</t>
    </rPh>
    <phoneticPr fontId="2"/>
  </si>
  <si>
    <t>①RestTemplateのbean定義を行う。
②バッファリングする設定を行う。</t>
    <rPh sb="21" eb="22">
      <t>オコナ</t>
    </rPh>
    <rPh sb="35" eb="37">
      <t>セッテイ</t>
    </rPh>
    <rPh sb="38" eb="39">
      <t>オコナ</t>
    </rPh>
    <phoneticPr fontId="2"/>
  </si>
  <si>
    <t>POSTメソッドを指定したRestAPIへのアクセスを確認</t>
  </si>
  <si>
    <t>PUTメソッドを指定したRestAPIへのアクセスを確認</t>
  </si>
  <si>
    <t>PATCHメソッドを指定したRestAPIへのアクセスを確認</t>
  </si>
  <si>
    <t>HEADメソッドを指定したRestAPIへのアクセスを確認</t>
  </si>
  <si>
    <t>正しい資格情報の認証ヘッダ(Basic)を付与して、RestAPIの認証が正常に通ることを確認</t>
  </si>
  <si>
    <t>誤った資格情報の認証ヘッダ(Basic)を付与して、RestAPIの認証が通らないことを確認</t>
  </si>
  <si>
    <t>認証ヘッダ(Basic)を付与せずRestAPIへアクセスした際に、RestAPIの認証が通らないことを確認</t>
  </si>
  <si>
    <t>ファイルアップロード（RestTemplate）</t>
  </si>
  <si>
    <t>ファイルダウンロード（RestTemplate）</t>
  </si>
  <si>
    <t>RestAPIからレスポンスを受信した際に、レスポンスボディ以外の情報も取得が行えることを確認</t>
  </si>
  <si>
    <t>RestAPIへリクエストを送信する際に、リクエストに対してヘッダの設定が行えることを確認</t>
  </si>
  <si>
    <t>UriBuilderFactoryをカスタマイズし、LocalDateで設定した日付が、特定の文字列フォーマットに変換されRestAPIに送信されることを確認</t>
  </si>
  <si>
    <t>CompletableFutureを利用し非同期でデータの一括登録を行い、RestAPIに正常にデータを送信できることを確認</t>
  </si>
  <si>
    <t>CompletableFutureを利用し同期でデータの一括登録を行い、RestAPIに正常にデータを送信できることを確認</t>
  </si>
  <si>
    <t xml:space="preserve">①RestTemplateのbean定義を行う。
②HttpMessageConverterがデフォルト登録されていること
③Context-Typeヘッダに「application/octet-stream」を設定すること。
</t>
    <rPh sb="21" eb="22">
      <t>オコナ</t>
    </rPh>
    <rPh sb="52" eb="54">
      <t>トウロク</t>
    </rPh>
    <phoneticPr fontId="2"/>
  </si>
  <si>
    <t>①RestTemplateのbean定義を行う。
②HttpMessageConverterがデフォルト登録されていること
③Context-TypeとAcceptヘッダに「text/plain」を設定すること。</t>
  </si>
  <si>
    <t>①RestTemplateのbean定義を行う。
②HttpMessageConverterがデフォルト登録されていること
③Context-Typeヘッダに「application/octet-stream」を設定すること。</t>
  </si>
  <si>
    <t>①RestTemplateのbean定義を行う。
②HttpMessageConverterに、SourceHttpMessageConverterを設定する。
③Context-TypeとAcceptヘッダに「application/xml」を設定すること。</t>
    <rPh sb="75" eb="77">
      <t>セッテイ</t>
    </rPh>
    <phoneticPr fontId="2"/>
  </si>
  <si>
    <t>①RestTemplateのbean定義を行う。
②HttpMessageConverterがデフォルト登録されていること
③Context-TypeとAcceptヘッダに「application/x-www-form-urlencoded」を設定すること。</t>
  </si>
  <si>
    <t xml:space="preserve">①RestTemplateのbean定義を行う。
②HttpMessageConverterがデフォルト登録されていること
③Context-TypeとAcceptヘッダに「multipart/form-data」を設定すること。
</t>
  </si>
  <si>
    <t>①RestTemplateのbean定義を行う。
②HttpMessageConverterがデフォルト登録されていること
③Context-TypeとAcceptヘッダに「application/json」を設定すること。</t>
  </si>
  <si>
    <t>①RestTemplateのbean定義を行う。
②HttpMessageConverterがデフォルト登録されていること
③Context-TypeとAcceptヘッダに「application/xml」を設定すること。</t>
  </si>
  <si>
    <t>①RestTemplateのbean定義を行う。
②BaseURLの設定を行う。</t>
    <rPh sb="18" eb="20">
      <t>テイギ</t>
    </rPh>
    <rPh sb="21" eb="22">
      <t>オコナ</t>
    </rPh>
    <rPh sb="34" eb="36">
      <t>セッテイ</t>
    </rPh>
    <rPh sb="37" eb="38">
      <t>オコナ</t>
    </rPh>
    <phoneticPr fontId="2"/>
  </si>
  <si>
    <t>①RestTemplateのbean定義を行う。</t>
    <rPh sb="18" eb="20">
      <t>テイギ</t>
    </rPh>
    <rPh sb="21" eb="22">
      <t>オコナ</t>
    </rPh>
    <phoneticPr fontId="2"/>
  </si>
  <si>
    <t>①RestTemplateのbean定義を行う。
②リトライ処理を実装する。</t>
    <rPh sb="18" eb="20">
      <t>テイギ</t>
    </rPh>
    <rPh sb="21" eb="22">
      <t>オコナ</t>
    </rPh>
    <rPh sb="30" eb="32">
      <t>ショリ</t>
    </rPh>
    <rPh sb="33" eb="35">
      <t>ジッソウ</t>
    </rPh>
    <phoneticPr fontId="2"/>
  </si>
  <si>
    <t>①RestTemplateのbean定義を行う。
②例外を無視するエラーハンドラーを設定する</t>
    <rPh sb="18" eb="20">
      <t>テイギ</t>
    </rPh>
    <rPh sb="21" eb="22">
      <t>オコナ</t>
    </rPh>
    <rPh sb="26" eb="28">
      <t>レイガイ</t>
    </rPh>
    <rPh sb="29" eb="31">
      <t>ムシ</t>
    </rPh>
    <rPh sb="42" eb="44">
      <t>セッテイ</t>
    </rPh>
    <phoneticPr fontId="2"/>
  </si>
  <si>
    <t>①RestTemplateのbean定義を行う。
②例外を無視するエラーハンドラーを設定する
③リトライ処理を実装する。</t>
    <rPh sb="18" eb="20">
      <t>テイギ</t>
    </rPh>
    <rPh sb="21" eb="22">
      <t>オコナ</t>
    </rPh>
    <rPh sb="26" eb="28">
      <t>レイガイ</t>
    </rPh>
    <rPh sb="29" eb="31">
      <t>ムシ</t>
    </rPh>
    <rPh sb="42" eb="44">
      <t>セッテイ</t>
    </rPh>
    <phoneticPr fontId="2"/>
  </si>
  <si>
    <t>①RestTemplateのbean定義を行う。
②カスタムヘッダを付与するClientHttpRequestInitializerを設定する。</t>
    <rPh sb="18" eb="20">
      <t>テイギ</t>
    </rPh>
    <rPh sb="21" eb="22">
      <t>オコナ</t>
    </rPh>
    <rPh sb="34" eb="36">
      <t>フヨ</t>
    </rPh>
    <rPh sb="67" eb="69">
      <t>セッテイ</t>
    </rPh>
    <phoneticPr fontId="2"/>
  </si>
  <si>
    <t>①RestTemplateのbean定義を行う。
②認証ヘッダを付与するClientHttpRequestInitializerを設定する。</t>
    <rPh sb="18" eb="20">
      <t>テイギ</t>
    </rPh>
    <rPh sb="21" eb="22">
      <t>オコナ</t>
    </rPh>
    <rPh sb="26" eb="28">
      <t>ニンショウ</t>
    </rPh>
    <rPh sb="32" eb="34">
      <t>フヨ</t>
    </rPh>
    <rPh sb="65" eb="67">
      <t>セッテイ</t>
    </rPh>
    <phoneticPr fontId="2"/>
  </si>
  <si>
    <t>①RestTemplateのbean定義を行う。
②Connect Timeoutを設定したRequestFactoryを設定</t>
    <rPh sb="18" eb="20">
      <t>テイギ</t>
    </rPh>
    <rPh sb="21" eb="22">
      <t>オコナ</t>
    </rPh>
    <rPh sb="42" eb="44">
      <t>セッテイ</t>
    </rPh>
    <rPh sb="61" eb="63">
      <t>セッテイ</t>
    </rPh>
    <phoneticPr fontId="2"/>
  </si>
  <si>
    <t>①RestTemplateのbean定義を行う。
②Read Timeoutを設定したRequestFactoryを設定</t>
    <rPh sb="18" eb="20">
      <t>テイギ</t>
    </rPh>
    <rPh sb="21" eb="22">
      <t>オコナ</t>
    </rPh>
    <rPh sb="39" eb="41">
      <t>セッテイ</t>
    </rPh>
    <rPh sb="58" eb="60">
      <t>セッテイ</t>
    </rPh>
    <phoneticPr fontId="2"/>
  </si>
  <si>
    <t>①RestTemplateのbean定義を行う。
②カスタムのUriBuilderFactoryを作成する。
③作成したUriBuilderFactoryを設定する。</t>
    <rPh sb="18" eb="20">
      <t>テイギ</t>
    </rPh>
    <rPh sb="21" eb="22">
      <t>オコナ</t>
    </rPh>
    <rPh sb="49" eb="51">
      <t>サクセイ</t>
    </rPh>
    <rPh sb="56" eb="58">
      <t>サクセイ</t>
    </rPh>
    <rPh sb="78" eb="80">
      <t>セッテイ</t>
    </rPh>
    <phoneticPr fontId="2"/>
  </si>
  <si>
    <t xml:space="preserve">①RestTemplateを使用すること。
②接続先のREST APIがHTTPS接続可能であること。
③接続先のRESTAPIが、JavaBeanに対応するレコードを1件返すこと。
</t>
    <rPh sb="14" eb="16">
      <t>シヨウ</t>
    </rPh>
    <rPh sb="23" eb="25">
      <t>セツゾク</t>
    </rPh>
    <rPh sb="25" eb="26">
      <t>サキ</t>
    </rPh>
    <rPh sb="41" eb="43">
      <t>セツゾク</t>
    </rPh>
    <rPh sb="43" eb="45">
      <t>カノウ</t>
    </rPh>
    <rPh sb="75" eb="77">
      <t>タイオウ</t>
    </rPh>
    <phoneticPr fontId="2"/>
  </si>
  <si>
    <t xml:space="preserve">①RestTemplateのbean定義をしておく。
②接続先のRESTAPIが、以下のJavaBeanを返却すること。
　Userオブジェクト
　　name = "test"
　　age = 20
</t>
  </si>
  <si>
    <t>①RestTemplateのbean定義を行う。
②カスタムコンバータ（csv⇒Javaオブジェクト）を作成する。
③カスタムコンバータを設定する。</t>
    <rPh sb="18" eb="20">
      <t>テイギ</t>
    </rPh>
    <rPh sb="21" eb="22">
      <t>オコナ</t>
    </rPh>
    <rPh sb="52" eb="54">
      <t>サクセイ</t>
    </rPh>
    <rPh sb="69" eb="71">
      <t>セッテイ</t>
    </rPh>
    <phoneticPr fontId="2"/>
  </si>
  <si>
    <t>①RestTemplateのbean定義を行う。
②JacksonJsonHttpMessageConverterを拡張したコンバーターを作成
③拡張したコンバータを設定する。</t>
    <rPh sb="18" eb="20">
      <t>テイギ</t>
    </rPh>
    <rPh sb="21" eb="22">
      <t>オコナ</t>
    </rPh>
    <rPh sb="58" eb="60">
      <t>カクチョウ</t>
    </rPh>
    <rPh sb="69" eb="71">
      <t>サクセイ</t>
    </rPh>
    <rPh sb="73" eb="75">
      <t>カクチョウ</t>
    </rPh>
    <rPh sb="83" eb="85">
      <t>セッテイ</t>
    </rPh>
    <phoneticPr fontId="2"/>
  </si>
  <si>
    <t>①RestTemplateのbean定義を行う。
②リクエスト、レスポンスログを出力するInterceptorを作成する。
③作成したInterceptorを設定する。</t>
    <rPh sb="18" eb="20">
      <t>テイギ</t>
    </rPh>
    <rPh sb="21" eb="22">
      <t>オコナ</t>
    </rPh>
    <rPh sb="56" eb="58">
      <t>サクセイ</t>
    </rPh>
    <rPh sb="63" eb="65">
      <t>サクセイ</t>
    </rPh>
    <rPh sb="79" eb="81">
      <t>セッテイ</t>
    </rPh>
    <phoneticPr fontId="2"/>
  </si>
  <si>
    <t>①RestTemplateのbean定義を行う。
②プロキシ設定を行ったRequestFactoryを設定する。</t>
    <rPh sb="18" eb="20">
      <t>テイギ</t>
    </rPh>
    <rPh sb="21" eb="22">
      <t>オコナ</t>
    </rPh>
    <rPh sb="30" eb="32">
      <t>セッテイ</t>
    </rPh>
    <rPh sb="33" eb="34">
      <t>オコナ</t>
    </rPh>
    <rPh sb="51" eb="53">
      <t>セッテイ</t>
    </rPh>
    <phoneticPr fontId="2"/>
  </si>
  <si>
    <t>①RestTemplateのbean定義を行う。
②正しい資格情報のプロキシ設定を行ったRequestFactoryを設定する。</t>
    <rPh sb="18" eb="20">
      <t>テイギ</t>
    </rPh>
    <rPh sb="21" eb="22">
      <t>オコナ</t>
    </rPh>
    <rPh sb="26" eb="27">
      <t>タダ</t>
    </rPh>
    <rPh sb="29" eb="33">
      <t>シカクジョウホウ</t>
    </rPh>
    <phoneticPr fontId="2"/>
  </si>
  <si>
    <t>①RestTemplateのbean定義を行う。
②誤った資格情報のプロキシ設定を行ったRequestFactoryを設定する。</t>
    <rPh sb="18" eb="20">
      <t>テイギ</t>
    </rPh>
    <rPh sb="21" eb="22">
      <t>オコナ</t>
    </rPh>
    <rPh sb="26" eb="27">
      <t>アヤマ</t>
    </rPh>
    <phoneticPr fontId="2"/>
  </si>
  <si>
    <t>メディアタイプに対応した変換が行われることを確認。
①確認画面に遷移すること
②表示されているリストのサイズが2であること
③出力値は以下の通りとなること。
  １行目：send byte
  ２行目：_received
④対向先のRestAPIが正しく呼ばれること。
⑤Context-Typeヘッダに「application/octet-stream」が設定されていること。</t>
    <rPh sb="8" eb="10">
      <t>タイオウ</t>
    </rPh>
    <rPh sb="12" eb="14">
      <t>ヘンカン</t>
    </rPh>
    <rPh sb="15" eb="16">
      <t>オコナ</t>
    </rPh>
    <rPh sb="40" eb="42">
      <t>ヒョウジ</t>
    </rPh>
    <rPh sb="63" eb="66">
      <t>シュツリョクアタイ</t>
    </rPh>
    <rPh sb="67" eb="69">
      <t>イカ</t>
    </rPh>
    <rPh sb="70" eb="71">
      <t>トオ</t>
    </rPh>
    <rPh sb="124" eb="125">
      <t>タダ</t>
    </rPh>
    <rPh sb="127" eb="128">
      <t>ヨ</t>
    </rPh>
    <rPh sb="179" eb="181">
      <t>セッテイ</t>
    </rPh>
    <phoneticPr fontId="2"/>
  </si>
  <si>
    <t>メディアタイプに対応した変換が行われることを確認。
①確認画面に遷移すること
②出力値は以下の通りとなること。
  sendString_received
③対向先のRestAPIが正しく呼ばれること。
④Context-Typeヘッダに「text/plain」が設定されていること。
⑤Acceptヘッダに「text/plain」が設定されていること。</t>
    <rPh sb="40" eb="43">
      <t>シュツリョクアタイ</t>
    </rPh>
    <rPh sb="44" eb="46">
      <t>イカ</t>
    </rPh>
    <rPh sb="47" eb="48">
      <t>トオ</t>
    </rPh>
    <rPh sb="91" eb="92">
      <t>タダ</t>
    </rPh>
    <rPh sb="94" eb="95">
      <t>ヨ</t>
    </rPh>
    <rPh sb="132" eb="134">
      <t>セッテイ</t>
    </rPh>
    <phoneticPr fontId="2"/>
  </si>
  <si>
    <t>メディアタイプに対応した変換が行われることを確認。
①確認画面に遷移すること
②表示されているリストのサイズが2であること
③出力値は以下の通りとなること。
  １行目：send resource
  ２行目：_received
④対向先のRestAPIが正しく呼ばれること。
⑤Context-Typeヘッダに「application/octet-stream」が設定されていること。</t>
    <rPh sb="40" eb="42">
      <t>ヒョウジ</t>
    </rPh>
    <rPh sb="63" eb="66">
      <t>シュツリョクアタイ</t>
    </rPh>
    <rPh sb="67" eb="69">
      <t>イカ</t>
    </rPh>
    <rPh sb="70" eb="71">
      <t>トオ</t>
    </rPh>
    <rPh sb="127" eb="128">
      <t>タダ</t>
    </rPh>
    <rPh sb="130" eb="131">
      <t>ヨ</t>
    </rPh>
    <rPh sb="182" eb="184">
      <t>セッテイ</t>
    </rPh>
    <phoneticPr fontId="2"/>
  </si>
  <si>
    <t>メディアタイプに対応した変換が行われることを確認。
①確認画面に遷移すること
②出力値は以下の通りとなること。
name:test0204_created
age:20
③対向先のRestAPIが正しく呼ばれること。
④Context-Typeヘッダに「application/xml」が設定されていること。
⑤Acceptヘッダに「application/xml」が設定されていること。</t>
  </si>
  <si>
    <t>メディアタイプに対応した変換が行われることを確認。
①確認画面に遷移すること
②出力値は以下の通りとなること。
name:test0205_received
age:20
③対向先のRestAPIが正しく呼ばれること。
④Context-Typeヘッダに「application/x-www-form-urlencoded」が設定されていること。
⑤Acceptヘッダに「application/x-www-form-urlencoded」が設定されていること。</t>
  </si>
  <si>
    <t>メディアタイプに対応した変換が行われることを確認。
①確認画面に遷移すること
②出力値は以下の通りとなること。
name:test0209_received
age:20
③対向先のRestAPIが正しく呼ばれること。
④Context-Typeヘッダに「application/json」が設定されていること。
⑤Acceptヘッダに「application/json」が設定されていること。</t>
  </si>
  <si>
    <t>メディアタイプに対応した変換が行われることを確認。
①確認画面に遷移すること
②出力値は以下の通りとなること。
name:test0211_received
age:20
③対向先のRestAPIが正しく呼ばれること。
④Context-Typeヘッダに「application/xml」が設定されていること。
⑤Acceptヘッダに「application/xml」が設定されていること。</t>
  </si>
  <si>
    <t>GETメソッドを指定してRestAPI（単一件）を呼び出せることを確認。
①確認画面に遷移すること
②出力値は以下の通りとなること。
name:test_00001
age:20
③対向先のRestAPIが正しく呼ばれること。</t>
    <rPh sb="8" eb="10">
      <t>シテイ</t>
    </rPh>
    <rPh sb="20" eb="23">
      <t>タンイツケン</t>
    </rPh>
    <phoneticPr fontId="2"/>
  </si>
  <si>
    <t>GETメソッドを指定してRestAPI（複数件）を呼び出せることを確認。
①確認画面に遷移すること
②出力件数が5になること。
③出力値は以下の通りとなること。
name:test1
age:21
name:test2
age:22
name:test3
age:23
name:test4
age:24
name:test5
age:25
③対向先のRestAPIが正しく呼ばれること。</t>
    <rPh sb="20" eb="23">
      <t>フクスウケン</t>
    </rPh>
    <rPh sb="51" eb="55">
      <t>シュツリョクケンスウ</t>
    </rPh>
    <phoneticPr fontId="2"/>
  </si>
  <si>
    <t>POSTメソッドを指定してRestAPIを呼び出せることを確認。
①確認画面に遷移すること
②出力値は以下の通りとなること。
name:test0403_created
age:20
③対向先のRestAPIが正しく呼ばれること。</t>
  </si>
  <si>
    <t>PUTメソッドを指定してRestAPIを呼び出せることを確認。
①確認画面に遷移すること
②出力値は以下の通りとなること。
name:test0404_put
age:20
③対向先のRestAPIが正しく呼ばれること。</t>
  </si>
  <si>
    <t>PATCHメソッドを指定してRestAPIを呼び出せることを確認。
①確認画面に遷移すること
②出力値は以下の通りとなること。
name:test0405_patch
age:20
③対向先のRestAPIが正しく呼ばれること。</t>
  </si>
  <si>
    <t>DELETEメソッドを指定してRestAPIを呼び出せることを確認。
①確認画面に遷移すること
②対向先のRestAPIが正しく呼ばれること。</t>
  </si>
  <si>
    <t>HEADメソッドを指定してRestAPIを呼び出せることを確認。
①確認画面に遷移すること
②対向先のRestAPIが正しく呼ばれること。</t>
  </si>
  <si>
    <t>例外ハンドリングが正しく行われることを確認。
①確認画面に遷移すること
②出力値は以下の通りとなること。
name:exceptionTest
age:20
③対向先のRestAPIが正しく呼ばれること。
④レスポンスボディが取得できること。</t>
    <rPh sb="0" eb="2">
      <t>レイガイ</t>
    </rPh>
    <rPh sb="9" eb="10">
      <t>タダ</t>
    </rPh>
    <rPh sb="12" eb="13">
      <t>オコナ</t>
    </rPh>
    <rPh sb="19" eb="21">
      <t>カクニン</t>
    </rPh>
    <rPh sb="113" eb="115">
      <t>シュトク</t>
    </rPh>
    <phoneticPr fontId="2"/>
  </si>
  <si>
    <t>例外ハンドリングが正しく行われることを確認。
①システムエラー画面に遷移すること
②対向先のRestAPIが正しく呼ばれること。
③例外のステータスコードから404が取得できること。
④catchした例外は、org.springframework.web.client.HttpClientErrorExceptionであること。</t>
    <rPh sb="66" eb="68">
      <t>レイガイ</t>
    </rPh>
    <rPh sb="83" eb="85">
      <t>シュトク</t>
    </rPh>
    <rPh sb="100" eb="102">
      <t>レイガイ</t>
    </rPh>
    <phoneticPr fontId="2"/>
  </si>
  <si>
    <t>例外ハンドリングが正しく行われることを確認。
①システムエラー画面に遷移すること
②対向先のRestAPIが正しく呼ばれること。
③例外のステータスコードから500が取得できること。
④catchした例外は、org.springframework.web.client.HttpServerErrorExceptionであること。</t>
    <rPh sb="66" eb="68">
      <t>レイガイ</t>
    </rPh>
    <rPh sb="83" eb="85">
      <t>シュトク</t>
    </rPh>
    <rPh sb="100" eb="102">
      <t>レイガイ</t>
    </rPh>
    <phoneticPr fontId="2"/>
  </si>
  <si>
    <t>例外ハンドリングが正しく行われることを確認。
①確認画面に遷移すること
②出力値は以下の通りとなること。
name:exceptionTest
age:20
③対向先のRestAPIが正しく呼ばれること。
④レスポンスボディが取得できること。</t>
    <rPh sb="113" eb="115">
      <t>シュトク</t>
    </rPh>
    <phoneticPr fontId="2"/>
  </si>
  <si>
    <t>リトライロジックが正常に動作することを確認
①確認画面に遷移すること
②出力値は以下の通りとなること。
name:test
age:20
③対向先のRestAPIが3回呼ばれること。
④レスポンスボディが取得できること。</t>
    <rPh sb="9" eb="11">
      <t>セイジョウ</t>
    </rPh>
    <rPh sb="12" eb="14">
      <t>ドウサ</t>
    </rPh>
    <rPh sb="19" eb="21">
      <t>カクニン</t>
    </rPh>
    <rPh sb="83" eb="84">
      <t>カイ</t>
    </rPh>
    <rPh sb="102" eb="104">
      <t>シュトク</t>
    </rPh>
    <phoneticPr fontId="2"/>
  </si>
  <si>
    <t>リトライロジックが正常に動作することを確認
①システムエラー画面に遷移すること
②対向先のRestAPIが3回呼ばれること。
③リトライ上限数を超えたメッセージが出力されていること
④catchした例外は、org.springframework.web.client.HttpServerErrorExceptionであること。</t>
    <rPh sb="99" eb="101">
      <t>レイガイ</t>
    </rPh>
    <phoneticPr fontId="2"/>
  </si>
  <si>
    <t>HTTPステータスコードで、例外ハンドリングが正しく行われることを確認。
①確認画面に遷移すること
②出力値は以下の通りとなること。
name:exceptionTest
age:20
③対向先のRestAPIが正しく呼ばれること。
④レスポンスボディが取得できること。
⑤ステータスコードが200であること。</t>
    <rPh sb="127" eb="129">
      <t>シュトク</t>
    </rPh>
    <phoneticPr fontId="2"/>
  </si>
  <si>
    <t>HTTPステータスコードで、例外ハンドリングが正しく行われることを確認。
①確認画面に遷移すること
②出力値は以下の通りとなること。
name:空
age:空
③対向先のRestAPIが正しく呼ばれること。
④ステータスコードが200であること。</t>
    <rPh sb="72" eb="73">
      <t>カラ</t>
    </rPh>
    <phoneticPr fontId="2"/>
  </si>
  <si>
    <t>HTTPステータスコードで、例外ハンドリングが正しく行われることを確認。
①確認画面に遷移すること
②出力値は以下の通りとなること。
name:空
age:空
③対向先のRestAPIが正しく呼ばれること。
④ステータスコードが500であること。</t>
    <rPh sb="72" eb="73">
      <t>カラ</t>
    </rPh>
    <phoneticPr fontId="2"/>
  </si>
  <si>
    <t>HTTPステータスコードで、例外ハンドリングが正しく行われることを確認。
①確認画面に遷移すること
②出力値は以下の通りとなること。
name:exceptionTest
age:20
③対向先のRestAPIが正しく呼ばれること。
④レスポンスボディが取得できること。
⑤ステータスコードが901であること。</t>
    <rPh sb="127" eb="129">
      <t>シュトク</t>
    </rPh>
    <phoneticPr fontId="2"/>
  </si>
  <si>
    <t>HTTPステータスコードで、リトライロジックが正常に動作することを確認。
①確認画面に遷移すること
②出力値は以下の通りとなること。
name:test
age:20
③対向先のRestAPIが3回呼ばれること。
④レスポンスボディが取得できること。</t>
    <rPh sb="23" eb="25">
      <t>セイジョウ</t>
    </rPh>
    <rPh sb="26" eb="28">
      <t>ドウサ</t>
    </rPh>
    <rPh sb="98" eb="99">
      <t>カイ</t>
    </rPh>
    <rPh sb="117" eb="119">
      <t>シュトク</t>
    </rPh>
    <phoneticPr fontId="2"/>
  </si>
  <si>
    <t>HTTPステータスコードで、リトライロジックが正常に動作することを確認。
①確認画面に遷移すること
②出力値は以下の通りとなること。
name:空
age:空
③対向先のRestAPIが3回呼ばれること。
④リトライ上限数を超えたメッセージが出力されていること</t>
    <rPh sb="72" eb="73">
      <t>カラ</t>
    </rPh>
    <phoneticPr fontId="2"/>
  </si>
  <si>
    <t>リクエストヘッダが付与されることを確認
①確認画面に遷移すること
②出力値は以下の通りとなること。
name:ｔest
age:20
③対向先のRestAPIが正しく呼ばれること。
④以下ヘッダが付与されていること。
Custom-Header：CustomHeaderValue</t>
    <rPh sb="9" eb="11">
      <t>フヨ</t>
    </rPh>
    <rPh sb="17" eb="19">
      <t>カクニン</t>
    </rPh>
    <rPh sb="92" eb="94">
      <t>イカ</t>
    </rPh>
    <rPh sb="98" eb="100">
      <t>フヨ</t>
    </rPh>
    <phoneticPr fontId="2"/>
  </si>
  <si>
    <t>正常に認証が通ることを確認
①確認画面に遷移すること
②出力値は以下の通りとなること。
name:ｔest
age:20
③対向先のRestAPIが正しく呼ばれること。
④以下ヘッダが付与されていること。
Authorization：Basic 資格情報</t>
    <rPh sb="3" eb="5">
      <t>ニンショウ</t>
    </rPh>
    <rPh sb="6" eb="7">
      <t>トオ</t>
    </rPh>
    <rPh sb="11" eb="13">
      <t>カクニン</t>
    </rPh>
    <rPh sb="86" eb="88">
      <t>イカ</t>
    </rPh>
    <rPh sb="92" eb="94">
      <t>フヨ</t>
    </rPh>
    <phoneticPr fontId="2"/>
  </si>
  <si>
    <t>タイムアウトが発生することを確認。
①システムエラー画面に遷移すること
②対向先のRestAPIが正しく呼ばれること。
③以下例外が発生していること。
org.springframework.web.client.ResourceAccessException
④内包されている例外が以下の通りであること。
java.net.SocketTimeoutException</t>
    <rPh sb="61" eb="63">
      <t>イカ</t>
    </rPh>
    <rPh sb="63" eb="65">
      <t>レイガイ</t>
    </rPh>
    <rPh sb="66" eb="68">
      <t>ハッセイ</t>
    </rPh>
    <rPh sb="132" eb="134">
      <t>ナイホウ</t>
    </rPh>
    <rPh sb="139" eb="141">
      <t>レイガイ</t>
    </rPh>
    <rPh sb="142" eb="144">
      <t>イカ</t>
    </rPh>
    <rPh sb="145" eb="146">
      <t>トオ</t>
    </rPh>
    <phoneticPr fontId="2"/>
  </si>
  <si>
    <t>multipart/form-dataでデータを送信できることを確認。
①確認画面に遷移すること
②出力値は以下の通りとなること。
name:uploadTest
age:31
③対向先のRestAPIが正しく呼ばれること。</t>
    <rPh sb="24" eb="26">
      <t>ソウシン</t>
    </rPh>
    <rPh sb="32" eb="34">
      <t>カクニン</t>
    </rPh>
    <phoneticPr fontId="2"/>
  </si>
  <si>
    <t>特定の型でデータをダウンロードできることを確認。
①確認画面に遷移すること
②出力件数が1000であること
③出力値は以下の通りとなること。
name:test0
age:30
～
name:test999
age30
④対向先のRestAPIが正しく呼ばれること。</t>
    <rPh sb="0" eb="2">
      <t>トクテイ</t>
    </rPh>
    <rPh sb="3" eb="4">
      <t>カタ</t>
    </rPh>
    <rPh sb="21" eb="23">
      <t>カクニン</t>
    </rPh>
    <rPh sb="39" eb="41">
      <t>シュツリョク</t>
    </rPh>
    <rPh sb="41" eb="43">
      <t>ケンスウ</t>
    </rPh>
    <phoneticPr fontId="2"/>
  </si>
  <si>
    <t>レスポンス情報が取得できることを確認。
①確認画面に遷移すること
②出力件数が1000であること
③出力値は以下の通りとなること。
name:test0
age:30
～
name:test999
age30
④対向先のRestAPIが正しく呼ばれること。
⑤ステータスコードが200であること。</t>
    <rPh sb="5" eb="7">
      <t>ジョウホウ</t>
    </rPh>
    <rPh sb="8" eb="10">
      <t>シュトク</t>
    </rPh>
    <rPh sb="34" eb="36">
      <t>シュツリョク</t>
    </rPh>
    <rPh sb="36" eb="38">
      <t>ケンスウ</t>
    </rPh>
    <phoneticPr fontId="2"/>
  </si>
  <si>
    <t>レスポンス情報が取得できることを確認。
①確認画面に遷移すること
②出力値は以下の通りとなること。
httpStatus:200
responseHeader:何かしらの値が入っている
responseBody:User [name=test, age=20]
③対向先のRestAPIが正しく呼ばれること。</t>
    <rPh sb="5" eb="7">
      <t>ジョウホウ</t>
    </rPh>
    <rPh sb="8" eb="10">
      <t>シュトク</t>
    </rPh>
    <rPh sb="16" eb="18">
      <t>カクニン</t>
    </rPh>
    <rPh sb="80" eb="81">
      <t>ナニ</t>
    </rPh>
    <rPh sb="85" eb="86">
      <t>アタイ</t>
    </rPh>
    <rPh sb="87" eb="88">
      <t>ハイ</t>
    </rPh>
    <phoneticPr fontId="2"/>
  </si>
  <si>
    <t>リクエストヘッダが付与されることを確認。
①確認画面に遷移すること
②出力値は以下の通りとなること。
httpStatus:200
responseHeader:何かしらの値が入っている
responseBody:User [name=test, age=20]
③対向先のRestAPIが正しく呼ばれること。
④以下ヘッダが付与されていること。
Custom-Header：Custom-Value</t>
    <rPh sb="9" eb="11">
      <t>フヨ</t>
    </rPh>
    <rPh sb="81" eb="82">
      <t>ナニ</t>
    </rPh>
    <rPh sb="86" eb="87">
      <t>アタイ</t>
    </rPh>
    <rPh sb="88" eb="89">
      <t>ハイ</t>
    </rPh>
    <phoneticPr fontId="2"/>
  </si>
  <si>
    <t>リクエストヘッダが付与されることを確認。
①確認画面に遷移すること
②出力値は以下の通りとなること。
name:ｔest1201_created
age:35
③対向先のRestAPIが正しく呼ばれること。
④以下ヘッダが付与されていること。
Content-Type：application/json</t>
    <rPh sb="105" eb="107">
      <t>イカ</t>
    </rPh>
    <rPh sb="111" eb="113">
      <t>フヨ</t>
    </rPh>
    <phoneticPr fontId="2"/>
  </si>
  <si>
    <t>リクエストヘッダが付与されることを確認。
①確認画面に遷移すること
②出力値は以下の通りとなること。
name:test
age:20
③対向先のRestAPIが正しく呼ばれること。
④以下ヘッダが付与されていること。
Accept：application/json</t>
    <rPh sb="92" eb="94">
      <t>イカ</t>
    </rPh>
    <rPh sb="98" eb="100">
      <t>フヨ</t>
    </rPh>
    <phoneticPr fontId="2"/>
  </si>
  <si>
    <t>リクエストヘッダが付与されることを確認。
①確認画面に遷移すること
②出力値は以下の通りとなること。
name:test
age:20
③対向先のRestAPIが正しく呼ばれること。
④以下ヘッダが付与されていること。
Custom-Header：CustomValue</t>
    <rPh sb="92" eb="94">
      <t>イカ</t>
    </rPh>
    <rPh sb="98" eb="100">
      <t>フヨ</t>
    </rPh>
    <phoneticPr fontId="2"/>
  </si>
  <si>
    <t>LocalDateからｙｙｙｙMMddのフォーマット文字列に変換できることを確認。
①確認画面に遷移すること
②出力値は以下の通りとなること。
orderId:00001
orderDate:20250101
orderItem:Sample Item
③対向先のRestAPIが正しく呼ばれること。
④RestAPI側で変換後の日付文字列が取得できること。
⑤CustomUriBuilderFactoryが実行され、LocalDateが指定したフォーマット文字列に変換されていること。</t>
    <rPh sb="26" eb="29">
      <t>モジレツ</t>
    </rPh>
    <rPh sb="30" eb="32">
      <t>ヘンカン</t>
    </rPh>
    <rPh sb="159" eb="160">
      <t>ガワ</t>
    </rPh>
    <rPh sb="161" eb="163">
      <t>ヘンカン</t>
    </rPh>
    <rPh sb="163" eb="164">
      <t>ゴ</t>
    </rPh>
    <rPh sb="165" eb="170">
      <t>ヒヅケモジレツ</t>
    </rPh>
    <rPh sb="171" eb="173">
      <t>シュトク</t>
    </rPh>
    <rPh sb="205" eb="207">
      <t>ジッコウ</t>
    </rPh>
    <rPh sb="220" eb="222">
      <t>シテイ</t>
    </rPh>
    <rPh sb="230" eb="233">
      <t>モジレツ</t>
    </rPh>
    <rPh sb="234" eb="236">
      <t>ヘンカン</t>
    </rPh>
    <phoneticPr fontId="2"/>
  </si>
  <si>
    <t>ＣＳＶのデータ形式のレスポンスを受信できることを確認
①確認画面に遷移すること
②出力件数が5であること
③出力値は以下の通りとなること。
name:testUser1
age:30
name:testUser2
age:31
name:testUser3
age:32
name:testUser4
age:33
name:testUser5
age:34
④対向先のRestAPIが正しく呼ばれること。
⑤以下ヘッダが付与されていること。
Accept：text/csv</t>
    <rPh sb="7" eb="9">
      <t>ケイシキ</t>
    </rPh>
    <rPh sb="16" eb="18">
      <t>ジュシン</t>
    </rPh>
    <rPh sb="24" eb="26">
      <t>カクニン</t>
    </rPh>
    <rPh sb="210" eb="212">
      <t>フヨ</t>
    </rPh>
    <phoneticPr fontId="2"/>
  </si>
  <si>
    <t>設定したHttpMessageConverterが利用されることを確認。
①確認画面に遷移すること
②出力値は以下の通りとなること。
name:test1601_created
age:33
③対向先のRestAPIが正しく呼ばれること。
④以下ヘッダが付与されていること。
Content-Type：application/json
Accept：application/json
⑤writeInternalメソッドのログが出力されること
⑥readメソッドのログが出力されること</t>
    <rPh sb="0" eb="2">
      <t>セッテイ</t>
    </rPh>
    <rPh sb="25" eb="27">
      <t>リヨウ</t>
    </rPh>
    <rPh sb="33" eb="35">
      <t>カクニン</t>
    </rPh>
    <rPh sb="126" eb="128">
      <t>フヨ</t>
    </rPh>
    <rPh sb="214" eb="216">
      <t>シュツリョク</t>
    </rPh>
    <phoneticPr fontId="2"/>
  </si>
  <si>
    <t>リクエスト、レスポンスログが出力されていることを確認
①確認画面に遷移すること
②出力値は以下の通りとなること
name: test1701_created
age: 32
③対向先のRestAPIが正しく呼ばれること。
④リクエストヘッダのログが出力されていること
⑤リクエストボディのログが出力されていること
⑥レスポンスヘッダのログが出力されていること
⑦HTTPステータスコードのログが出力されていること</t>
    <rPh sb="14" eb="16">
      <t>シュツリョク</t>
    </rPh>
    <rPh sb="24" eb="26">
      <t>カクニン</t>
    </rPh>
    <rPh sb="28" eb="32">
      <t>カクニンガメン</t>
    </rPh>
    <rPh sb="33" eb="35">
      <t>センイ</t>
    </rPh>
    <rPh sb="41" eb="43">
      <t>シュツリョク</t>
    </rPh>
    <rPh sb="43" eb="44">
      <t>アタイ</t>
    </rPh>
    <rPh sb="45" eb="47">
      <t>イカ</t>
    </rPh>
    <rPh sb="48" eb="49">
      <t>トオ</t>
    </rPh>
    <rPh sb="124" eb="126">
      <t>シュツリョク</t>
    </rPh>
    <phoneticPr fontId="2"/>
  </si>
  <si>
    <t>正しいURL文字列が生成され、対応するRestAPIが呼び出されることを確認。
①確認画面に遷移すること
②出力値は以下の通りとなること
name: test_0001
age: 20
③対向先のRestAPIが正しく呼ばれること。
④埋め込みパラメータが以下の通りであること。
Id: 0001</t>
    <rPh sb="0" eb="1">
      <t>タダ</t>
    </rPh>
    <rPh sb="6" eb="9">
      <t>モジレツ</t>
    </rPh>
    <rPh sb="10" eb="12">
      <t>セイセイ</t>
    </rPh>
    <rPh sb="15" eb="17">
      <t>タイオウ</t>
    </rPh>
    <rPh sb="27" eb="28">
      <t>ヨ</t>
    </rPh>
    <rPh sb="29" eb="30">
      <t>ダ</t>
    </rPh>
    <rPh sb="36" eb="38">
      <t>カクニン</t>
    </rPh>
    <rPh sb="41" eb="45">
      <t>カクニンガメン</t>
    </rPh>
    <rPh sb="46" eb="48">
      <t>センイ</t>
    </rPh>
    <rPh sb="54" eb="56">
      <t>シュツリョク</t>
    </rPh>
    <rPh sb="56" eb="57">
      <t>アタイ</t>
    </rPh>
    <rPh sb="58" eb="60">
      <t>イカ</t>
    </rPh>
    <rPh sb="118" eb="119">
      <t>ト</t>
    </rPh>
    <rPh sb="120" eb="121">
      <t>ウ</t>
    </rPh>
    <rPh sb="128" eb="130">
      <t>コオ</t>
    </rPh>
    <rPh sb="131" eb="132">
      <t>イカトオ</t>
    </rPh>
    <phoneticPr fontId="2"/>
  </si>
  <si>
    <t>正しいURL文字列が生成され、対応するRestAPIが呼び出されることを確認。
①確認画面に遷移すること
②出力値は以下の通りとなること
name: test1802_created
age: 31
③対向先のRestAPIが正しく呼ばれること。
④埋め込みパラメータが以下の通りであること。
Action: create</t>
    <rPh sb="0" eb="1">
      <t>タダ</t>
    </rPh>
    <rPh sb="6" eb="9">
      <t>モジレツ</t>
    </rPh>
    <rPh sb="10" eb="12">
      <t>セイセイ</t>
    </rPh>
    <rPh sb="15" eb="17">
      <t>タイオウ</t>
    </rPh>
    <rPh sb="27" eb="28">
      <t>ヨ</t>
    </rPh>
    <rPh sb="29" eb="30">
      <t>ダ</t>
    </rPh>
    <rPh sb="36" eb="38">
      <t>カクニン</t>
    </rPh>
    <rPh sb="41" eb="45">
      <t>カクニンガメン</t>
    </rPh>
    <rPh sb="46" eb="48">
      <t>センイ</t>
    </rPh>
    <rPh sb="54" eb="56">
      <t>シュツリョク</t>
    </rPh>
    <rPh sb="56" eb="57">
      <t>アタイ</t>
    </rPh>
    <rPh sb="58" eb="60">
      <t>イカ</t>
    </rPh>
    <rPh sb="125" eb="126">
      <t>ト</t>
    </rPh>
    <rPh sb="127" eb="128">
      <t>ウ</t>
    </rPh>
    <rPh sb="135" eb="137">
      <t>コオ</t>
    </rPh>
    <rPh sb="138" eb="139">
      <t>イカトオ</t>
    </rPh>
    <phoneticPr fontId="2"/>
  </si>
  <si>
    <t>Proxyを経由してRestAPIへアクセスができることを確認。
①確認画面に遷移すること
②出力値は以下の通りとなること
name: test
age: 20
③対向先のRestAPIが正しく呼ばれること。
④Proxyで設定したレスポンスヘッダが取得できること
⑤Proxyを経由したログが出力されていること。</t>
    <rPh sb="34" eb="38">
      <t>カクニンガメン</t>
    </rPh>
    <rPh sb="39" eb="41">
      <t>センイ</t>
    </rPh>
    <rPh sb="47" eb="49">
      <t>シュツリョク</t>
    </rPh>
    <rPh sb="49" eb="50">
      <t>アタイ</t>
    </rPh>
    <rPh sb="51" eb="53">
      <t>イカ</t>
    </rPh>
    <phoneticPr fontId="2"/>
  </si>
  <si>
    <t>Proxyを経由してRestAPIへアクセスができることを確認。
①確認画面に遷移すること
②出力値は以下の通りとなること
name: test2
age: 21
③対向先のRestAPIが正しく呼ばれること。
④Proxyで設定したレスポンスヘッダが取得できること
⑤Proxyで認証が成功したログが出力されていること。</t>
    <rPh sb="34" eb="38">
      <t>カクニンガメン</t>
    </rPh>
    <rPh sb="39" eb="41">
      <t>センイ</t>
    </rPh>
    <rPh sb="47" eb="49">
      <t>シュツリョク</t>
    </rPh>
    <rPh sb="49" eb="50">
      <t>アタイ</t>
    </rPh>
    <rPh sb="51" eb="53">
      <t>イカ</t>
    </rPh>
    <rPh sb="141" eb="143">
      <t>ニンショウ</t>
    </rPh>
    <rPh sb="144" eb="146">
      <t>セイコウ</t>
    </rPh>
    <phoneticPr fontId="2"/>
  </si>
  <si>
    <t>相対URLでRestAPIを呼び出せることを確認。
①確認画面に遷移すること
②出力値は以下の通りとなること。
name:test
age:20
③対向先のRestAPIが正しく呼ばれること。</t>
    <rPh sb="0" eb="2">
      <t>ソウタイ</t>
    </rPh>
    <rPh sb="14" eb="15">
      <t>ヨ</t>
    </rPh>
    <rPh sb="16" eb="17">
      <t>ダ</t>
    </rPh>
    <rPh sb="22" eb="24">
      <t>カクニン</t>
    </rPh>
    <phoneticPr fontId="2"/>
  </si>
  <si>
    <t>RestAPIへのアクセスが非同期で実行され、結果も非同期で取得できること
①確認画面に遷移すること
②出力値は以下の通りとなること。
httpStatus:200
responseHeader:値が入っていること
responseBody:Result [count=20]
③対向先のRestAPIが正しく呼ばれること。
④リクエスト送信前とリスナーのスレッドが異なること。
⑤ステータスコードが200で受信できていること。</t>
    <rPh sb="14" eb="17">
      <t>ヒドウキ</t>
    </rPh>
    <rPh sb="18" eb="20">
      <t>ジッコウ</t>
    </rPh>
    <rPh sb="23" eb="25">
      <t>ケッカ</t>
    </rPh>
    <rPh sb="26" eb="29">
      <t>ヒドウキ</t>
    </rPh>
    <rPh sb="30" eb="32">
      <t>シュトク</t>
    </rPh>
    <rPh sb="98" eb="99">
      <t>アタイ</t>
    </rPh>
    <rPh sb="100" eb="101">
      <t>ハイ</t>
    </rPh>
    <rPh sb="183" eb="184">
      <t>コト</t>
    </rPh>
    <phoneticPr fontId="2"/>
  </si>
  <si>
    <t>RestAPIへのアクセスが非同期で実行され、結果は同期で取得できること
①確認画面に遷移すること
②出力値は以下の通りとなること。
httpStatus:200
responseHeader:値が入っていること
responseBody:Result [count=20]
③対向先のRestAPIが正しく呼ばれること。
④リクエスト送信前とリスナーのスレッドが異なること。
⑤ステータスコードが200で受信できていること。</t>
    <rPh sb="14" eb="17">
      <t>ヒドウキ</t>
    </rPh>
    <rPh sb="18" eb="20">
      <t>ジッコウ</t>
    </rPh>
    <rPh sb="23" eb="25">
      <t>ケッカ</t>
    </rPh>
    <rPh sb="29" eb="31">
      <t>シュトク</t>
    </rPh>
    <rPh sb="97" eb="98">
      <t>アタイ</t>
    </rPh>
    <rPh sb="99" eb="100">
      <t>ハイ</t>
    </rPh>
    <rPh sb="182" eb="183">
      <t>コト</t>
    </rPh>
    <phoneticPr fontId="2"/>
  </si>
  <si>
    <t>デフォルトのステータスハンドラーが利用されることを確認。
①システムエラー画面に遷移すること
②対向先のRestAPIが正しく呼ばれること。
③リクエスト送信前とリスナーのスレッドが異なること。
③catchした例外は、jp.co.ntt.fw.spring.functionaltest.app.cmmn.exception.CustomExceptionであること。
④defaultStatusHandlerが呼び出されたログが出力されていること。</t>
    <rPh sb="17" eb="19">
      <t>リヨウ</t>
    </rPh>
    <rPh sb="106" eb="108">
      <t>レイガイ</t>
    </rPh>
    <rPh sb="208" eb="209">
      <t>ヨ</t>
    </rPh>
    <rPh sb="210" eb="211">
      <t>ダ</t>
    </rPh>
    <rPh sb="217" eb="219">
      <t>シュツリョク</t>
    </rPh>
    <phoneticPr fontId="2"/>
  </si>
  <si>
    <t>個別のステータスハンドラーが利用されることを確認。
①システムエラー画面に遷移すること
②対向先のRestAPIが正しく呼ばれること。
③リクエスト送信前とリスナーのスレッドが異なること。
④catchした例外は、jp.co.ntt.fw.spring.functionaltest.app.cmmn.exception.CustomExceptionであること。
⑤statusHandlerが呼び出されたログが出力されていること。</t>
    <rPh sb="0" eb="2">
      <t>コベツ</t>
    </rPh>
    <phoneticPr fontId="2"/>
  </si>
  <si>
    <t>例外ハンドリングが正しく行われることを確認。
①確認画面に遷移すること
②出力値は以下の通りとなること。
name:exceptionTest
age:20
③対向先のRestAPIが正しく呼ばれること。
④リクエスト送信前とリスナーのスレッドが異なること。
⑤ステータスコードが200で受信できていること。</t>
    <rPh sb="0" eb="2">
      <t>レイガイ</t>
    </rPh>
    <rPh sb="9" eb="10">
      <t>タダ</t>
    </rPh>
    <rPh sb="12" eb="13">
      <t>オコナ</t>
    </rPh>
    <rPh sb="19" eb="21">
      <t>カクニン</t>
    </rPh>
    <phoneticPr fontId="2"/>
  </si>
  <si>
    <t>例外ハンドリングが正しく行われることを確認。
①システムエラー画面に遷移すること
②対向先のRestAPIが正しく呼ばれること。
③リクエスト送信前とリスナーのスレッドが異なること。
④catchした例外は、org.springframework.web.reactive.function.client.WebClientResponseExceptionであること。
⑤返却されたステータスコードが404であること。</t>
    <rPh sb="187" eb="189">
      <t>ヘンキャク</t>
    </rPh>
    <phoneticPr fontId="2"/>
  </si>
  <si>
    <t>例外ハンドリングが正しく行われることを確認。
①システムエラー画面に遷移すること
②対向先のRestAPIが正しく呼ばれること。
③リクエスト送信前とリスナーのスレッドが異なること。
④catchした例外は、org.springframework.web.reactive.function.client.WebClientResponseExceptionであること。
⑤返却されたステータスコードが500であること。</t>
  </si>
  <si>
    <t>例外ハンドリングが正しく行われることを確認。
①システムエラー画面に遷移すること
②対向先のRestAPIが正しく呼ばれること。
③リクエスト送信前とリスナーのスレッドが異なること。
④catchした例外は、org.springframework.web.reactive.function.client.UnknownHttpStatusCodeExceptionであること。
⑤返却されたステータスコードが901であること。</t>
  </si>
  <si>
    <t>例外ハンドリングが正しく行われることを確認。
①システムエラー画面に遷移すること
②対向先のRestAPIが正しく呼ばれること。
③リクエスト送信前とリスナーのスレッドが異なること。
④catchした例外は、org.springframework.core.io.buffer.DataBufferLimitExceptionであること。
⑤返却されたステータスコードが200であること。</t>
  </si>
  <si>
    <t>リクエスト送信前のログが出力されること
①確認画面に遷移すること
②出力値は以下の通りとなること。
name:test5001_created
age:33
③対向先のRestAPIが正しく呼ばれること。
④リクエスト送信前とリスナーのスレッドが異なること。
⑤リクエスト送信前のログが出力されること</t>
    <rPh sb="5" eb="7">
      <t>ソウシン</t>
    </rPh>
    <rPh sb="7" eb="8">
      <t>マエ</t>
    </rPh>
    <rPh sb="12" eb="14">
      <t>シュツリョク</t>
    </rPh>
    <rPh sb="136" eb="138">
      <t>ソウシン</t>
    </rPh>
    <rPh sb="138" eb="139">
      <t>マエ</t>
    </rPh>
    <rPh sb="143" eb="145">
      <t>シュツリョク</t>
    </rPh>
    <phoneticPr fontId="2"/>
  </si>
  <si>
    <t>リクエストヘッダが付与されることを確認
①確認画面に遷移すること
②出力値は以下の通りとなること。
name:test
age:20
③対向先のRestAPIが正しく呼ばれること。
④以下ヘッダが付与されていること。
Custom-Header: test value
⑤リクエスト送信前とリスナーのスレッドが異なること。
⑥ExchangeFilterFunctionのログが出力されること</t>
    <rPh sb="9" eb="11">
      <t>フヨ</t>
    </rPh>
    <rPh sb="17" eb="19">
      <t>カクニン</t>
    </rPh>
    <rPh sb="97" eb="99">
      <t>フヨ</t>
    </rPh>
    <rPh sb="189" eb="191">
      <t>シュツリョク</t>
    </rPh>
    <phoneticPr fontId="2"/>
  </si>
  <si>
    <t xml:space="preserve">バッファリングされていることを確認
①確認画面に遷移すること
②出力値は以下の通りとなること
name: test0102_created
age: 30
③Content-Lengthが取得できること
</t>
    <rPh sb="15" eb="17">
      <t>カクニン</t>
    </rPh>
    <rPh sb="19" eb="23">
      <t>カクニンガメン</t>
    </rPh>
    <rPh sb="24" eb="26">
      <t>センイ</t>
    </rPh>
    <rPh sb="32" eb="34">
      <t>シュツリョク</t>
    </rPh>
    <rPh sb="34" eb="35">
      <t>アタイ</t>
    </rPh>
    <rPh sb="36" eb="38">
      <t>イカ</t>
    </rPh>
    <rPh sb="39" eb="40">
      <t>トオ</t>
    </rPh>
    <rPh sb="94" eb="96">
      <t>シュトク</t>
    </rPh>
    <phoneticPr fontId="2"/>
  </si>
  <si>
    <t>①入力値は以下の通り
name: test0102
age: 30
②送信ボタン押下</t>
    <rPh sb="1" eb="3">
      <t>ニュウリョク</t>
    </rPh>
    <rPh sb="3" eb="4">
      <t>アタイ</t>
    </rPh>
    <rPh sb="5" eb="7">
      <t>イカ</t>
    </rPh>
    <rPh sb="8" eb="9">
      <t>トオ</t>
    </rPh>
    <rPh sb="35" eb="37">
      <t>ソウシン</t>
    </rPh>
    <rPh sb="40" eb="42">
      <t>オウカ</t>
    </rPh>
    <phoneticPr fontId="2"/>
  </si>
  <si>
    <t>絶対URLでRestAPIを呼び出せることを確認。
①確認画面に遷移すること
②出力値は以下の通りとなること。
name:test2
age:25
③対向先のRestAPIが正しく呼ばれること。</t>
    <rPh sb="0" eb="2">
      <t>ゼッタイ</t>
    </rPh>
    <phoneticPr fontId="2"/>
  </si>
  <si>
    <t>DELETEメソッドを指定したRestAPIへのアクセスを確認</t>
    <phoneticPr fontId="2"/>
  </si>
  <si>
    <t>RSCL48</t>
    <phoneticPr fontId="2"/>
  </si>
  <si>
    <t>RSCL49</t>
    <phoneticPr fontId="2"/>
  </si>
  <si>
    <t>RSCL50</t>
    <phoneticPr fontId="2"/>
  </si>
  <si>
    <t>setHandshakeTimeoutメソッドの動作確認</t>
    <phoneticPr fontId="2"/>
  </si>
  <si>
    <t>setHandshakeTimeoutメソッドの動作確認をする。</t>
    <phoneticPr fontId="2"/>
  </si>
  <si>
    <t>複数のインターセプターを登録し実行順序を確認</t>
    <rPh sb="0" eb="2">
      <t>フクスウ</t>
    </rPh>
    <rPh sb="12" eb="14">
      <t>トウロク</t>
    </rPh>
    <rPh sb="15" eb="19">
      <t>ジッコウジュンジョ</t>
    </rPh>
    <rPh sb="20" eb="22">
      <t>カクニン</t>
    </rPh>
    <phoneticPr fontId="2"/>
  </si>
  <si>
    <t>RSCL1702</t>
    <phoneticPr fontId="2"/>
  </si>
  <si>
    <t>複数のインターセプターを登録し実行順序を確認</t>
    <phoneticPr fontId="2"/>
  </si>
  <si>
    <t>①RestTemplateのbean定義を行う。
②イベントログを出力するInterceptorを２つ作成する。
③作成した２つのInterceptorを設定する。</t>
    <rPh sb="18" eb="20">
      <t>テイギ</t>
    </rPh>
    <rPh sb="21" eb="22">
      <t>オコナ</t>
    </rPh>
    <rPh sb="33" eb="35">
      <t>シュツリョク</t>
    </rPh>
    <rPh sb="51" eb="53">
      <t>サクセイ</t>
    </rPh>
    <rPh sb="58" eb="60">
      <t>サクセイ</t>
    </rPh>
    <rPh sb="77" eb="79">
      <t>セッテイ</t>
    </rPh>
    <phoneticPr fontId="2"/>
  </si>
  <si>
    <t>インターセプターの実行順序を示すログが出力されていることを確認
①確認画面に遷移すること
②出力値は以下の通りとなること。
name:test
age:20
③対向先のRestAPIが正しく呼ばれること。
④以下の順のログが出力されていること
CustomOrder1Interceptor Start!, CustomOrder2Interceptor Start!, CustomOrder2Interceptor End!, CustomOrder1Interceptor End!</t>
    <rPh sb="9" eb="13">
      <t>ジッコウジュンジョ</t>
    </rPh>
    <rPh sb="14" eb="15">
      <t>シメ</t>
    </rPh>
    <rPh sb="19" eb="21">
      <t>シュツリョク</t>
    </rPh>
    <rPh sb="29" eb="31">
      <t>カクニン</t>
    </rPh>
    <rPh sb="104" eb="106">
      <t>イカ</t>
    </rPh>
    <rPh sb="107" eb="108">
      <t>ジュン</t>
    </rPh>
    <rPh sb="112" eb="114">
      <t>シュツリョク</t>
    </rPh>
    <phoneticPr fontId="2"/>
  </si>
  <si>
    <t>ステータスコードで判定するロジックを実装し、レスポンスのステータスが200で返却された場合の挙動を確認　（NoOpResponseErrorHandlerを使用）</t>
    <rPh sb="9" eb="11">
      <t>ハンテイ</t>
    </rPh>
    <rPh sb="18" eb="20">
      <t>ジッソウ</t>
    </rPh>
    <rPh sb="38" eb="40">
      <t>ヘンキャク</t>
    </rPh>
    <rPh sb="43" eb="45">
      <t>バアイ</t>
    </rPh>
    <rPh sb="46" eb="48">
      <t>キョドウ</t>
    </rPh>
    <rPh sb="49" eb="51">
      <t>カクニン</t>
    </rPh>
    <rPh sb="78" eb="80">
      <t>シヨウ</t>
    </rPh>
    <phoneticPr fontId="2"/>
  </si>
  <si>
    <t>ステータスコードで判定するロジックを実装し、レスポンスのステータスが400系で返却された場合の挙動を確認　（NoOpResponseErrorHandlerを使用）</t>
    <rPh sb="9" eb="11">
      <t>ハンテイ</t>
    </rPh>
    <rPh sb="18" eb="20">
      <t>ジッソウ</t>
    </rPh>
    <rPh sb="37" eb="38">
      <t>ケイ</t>
    </rPh>
    <rPh sb="39" eb="41">
      <t>ヘンキャク</t>
    </rPh>
    <rPh sb="44" eb="46">
      <t>バアイ</t>
    </rPh>
    <rPh sb="47" eb="49">
      <t>キョドウ</t>
    </rPh>
    <rPh sb="50" eb="52">
      <t>カクニン</t>
    </rPh>
    <phoneticPr fontId="2"/>
  </si>
  <si>
    <t>ステータスコードで判定するロジックを実装し、レスポンスのステータスが500系で返却された場合の挙動を確認　（NoOpResponseErrorHandlerを使用）</t>
    <rPh sb="9" eb="11">
      <t>ハンテイ</t>
    </rPh>
    <rPh sb="18" eb="20">
      <t>ジッソウ</t>
    </rPh>
    <rPh sb="37" eb="38">
      <t>ケイ</t>
    </rPh>
    <rPh sb="39" eb="41">
      <t>ヘンキャク</t>
    </rPh>
    <rPh sb="44" eb="46">
      <t>バアイ</t>
    </rPh>
    <rPh sb="47" eb="49">
      <t>キョドウ</t>
    </rPh>
    <rPh sb="50" eb="52">
      <t>カクニン</t>
    </rPh>
    <phoneticPr fontId="2"/>
  </si>
  <si>
    <t>ステータスコードで判定するロジックを実装し、レスポンスのステータスがユーザー定義のコードで返却された場合の挙動を確認　（NoOpResponseErrorHandlerを使用）</t>
    <rPh sb="38" eb="40">
      <t>テイギ</t>
    </rPh>
    <rPh sb="45" eb="47">
      <t>ヘンキャク</t>
    </rPh>
    <rPh sb="50" eb="52">
      <t>バアイ</t>
    </rPh>
    <rPh sb="53" eb="55">
      <t>キョドウ</t>
    </rPh>
    <rPh sb="56" eb="58">
      <t>カクニン</t>
    </rPh>
    <phoneticPr fontId="2"/>
  </si>
  <si>
    <t>ステータスコードで判定するロジックを実装し、レスポンスのステータスがユーザー定義のコードで返却された場合の挙動を確認</t>
    <rPh sb="38" eb="40">
      <t>テイギ</t>
    </rPh>
    <rPh sb="45" eb="47">
      <t>ヘンキャク</t>
    </rPh>
    <rPh sb="50" eb="52">
      <t>バアイ</t>
    </rPh>
    <rPh sb="53" eb="55">
      <t>キョドウ</t>
    </rPh>
    <rPh sb="56" eb="58">
      <t>カクニン</t>
    </rPh>
    <phoneticPr fontId="2"/>
  </si>
  <si>
    <t>ステータスコードで判定するロジックを実装し、レスポンスのステータスが200で返却された場合の挙動を確認
（NoOpResponseErrorHandler使用）</t>
    <phoneticPr fontId="2"/>
  </si>
  <si>
    <t>①RestTemplateのbean定義を行う。
②例外を無視するエラーハンドラー（NoOpResponseErrorHandler使用）を設定する</t>
    <rPh sb="18" eb="20">
      <t>テイギ</t>
    </rPh>
    <rPh sb="21" eb="22">
      <t>オコナ</t>
    </rPh>
    <rPh sb="26" eb="28">
      <t>レイガイ</t>
    </rPh>
    <rPh sb="29" eb="31">
      <t>ムシ</t>
    </rPh>
    <rPh sb="68" eb="70">
      <t>セッテイ</t>
    </rPh>
    <phoneticPr fontId="2"/>
  </si>
  <si>
    <t>ステータスコードで判定するロジックを実装し、レスポンスのステータスが400系で返却された場合の挙動を確認
（NoOpResponseErrorHandler使用）</t>
    <phoneticPr fontId="2"/>
  </si>
  <si>
    <t>HTTPステータスコードで、例外ハンドリングが正しく行われることを確認。
①確認画面に遷移すること
②出力値は以下の通りとなること。
name:空
age:空
③対向先のRestAPIが正しく呼ばれること。
④ステータスコードが404であること。</t>
    <rPh sb="72" eb="73">
      <t>カラ</t>
    </rPh>
    <phoneticPr fontId="2"/>
  </si>
  <si>
    <t>RSCL0513</t>
  </si>
  <si>
    <t>ステータスコードで判定するロジックを実装し、レスポンスのステータスが500系で返却された場合の挙動を確認
（NoOpResponseErrorHandler使用）</t>
    <phoneticPr fontId="2"/>
  </si>
  <si>
    <t>RSCL0514</t>
  </si>
  <si>
    <t>ステータスコードで判定するロジックを実装し、レスポンスのステータスがユーザー定義のコードで返却された場合の挙動を確認
（NoOpResponseErrorHandler使用）</t>
    <phoneticPr fontId="2"/>
  </si>
  <si>
    <t>RSCL0515</t>
  </si>
  <si>
    <t>RSCL0516</t>
  </si>
  <si>
    <t>ステータスコードで判定するロジックを実装し、レスポンスのステータスがユーザー定義のコードで返却された場合の挙動を確認</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</si>
</sst>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lt;=999]000;[&lt;=9999]000\-00;000\-0000"/>
  </numFmts>
  <fonts count="12" x14ac:knownFonts="1">
    <font>
      <sz val="11"/>
      <color theme="1"/>
      <name val="ＭＳ Ｐゴシック"/>
      <family val="2"/>
      <charset val="128"/>
      <scheme val="minor"/>
    </font>
    <font>
      <b/>
      <sz val="11"/>
      <name val="ＭＳ Ｐゴシック"/>
      <family val="2"/>
      <charset val="128"/>
      <scheme val="minor"/>
    </font>
    <font>
      <sz val="6"/>
      <name val="ＭＳ Ｐゴシック"/>
      <family val="2"/>
      <charset val="128"/>
      <scheme val="minor"/>
    </font>
    <font>
      <b/>
      <sz val="11"/>
      <name val="ＭＳ Ｐゴシック"/>
      <family val="3"/>
      <charset val="128"/>
      <scheme val="minor"/>
    </font>
    <font>
      <b/>
      <sz val="11"/>
      <color theme="1"/>
      <name val="ＭＳ Ｐゴシック"/>
      <family val="3"/>
      <charset val="128"/>
      <scheme val="minor"/>
    </font>
    <font>
      <u/>
      <sz val="11"/>
      <color theme="10"/>
      <name val="ＭＳ Ｐゴシック"/>
      <family val="3"/>
      <charset val="128"/>
    </font>
    <font>
      <sz val="11"/>
      <name val="ＭＳ Ｐゴシック"/>
      <family val="3"/>
      <charset val="128"/>
    </font>
    <font>
      <b/>
      <sz val="11"/>
      <name val="ＭＳ Ｐゴシック"/>
      <family val="3"/>
      <charset val="128"/>
    </font>
    <font>
      <sz val="6"/>
      <name val="ＭＳ Ｐゴシック"/>
      <family val="3"/>
      <charset val="128"/>
    </font>
    <font>
      <sz val="11"/>
      <color theme="0" tint="-0.14999847407452621"/>
      <name val="ＭＳ Ｐゴシック"/>
      <family val="2"/>
      <charset val="128"/>
      <scheme val="minor"/>
    </font>
    <font>
      <sz val="11"/>
      <color theme="0" tint="-0.14999847407452621"/>
      <name val="ＭＳ Ｐゴシック"/>
      <family val="3"/>
      <charset val="128"/>
      <scheme val="minor"/>
    </font>
    <font>
      <b/>
      <sz val="11"/>
      <color rgb="FFFF0000"/>
      <name val="ＭＳ Ｐゴシック"/>
      <family val="3"/>
      <charset val="128"/>
      <scheme val="minor"/>
    </font>
  </fonts>
  <fills count="6">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CC"/>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s>
  <cellStyleXfs count="3">
    <xf numFmtId="0" fontId="0" fillId="0" borderId="0">
      <alignment vertical="center"/>
    </xf>
    <xf numFmtId="0" fontId="5" fillId="0" borderId="0" applyNumberFormat="0" applyFill="0" applyBorder="0" applyAlignment="0" applyProtection="0">
      <alignment vertical="top"/>
      <protection locked="0"/>
    </xf>
    <xf numFmtId="0" fontId="6" fillId="0" borderId="0">
      <alignment vertical="center"/>
    </xf>
  </cellStyleXfs>
  <cellXfs count="58">
    <xf numFmtId="0" fontId="0" fillId="0" borderId="0" xfId="0">
      <alignment vertical="center"/>
    </xf>
    <xf numFmtId="0" fontId="1" fillId="2" borderId="1" xfId="0" applyFont="1" applyFill="1" applyBorder="1" applyAlignment="1">
      <alignment horizontal="center" vertical="center"/>
    </xf>
    <xf numFmtId="0" fontId="0" fillId="0" borderId="1" xfId="0" applyBorder="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pplyAlignment="1">
      <alignment horizontal="left" vertical="top"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6" fillId="0" borderId="1" xfId="2" applyBorder="1" applyAlignment="1">
      <alignment horizontal="center" vertical="center"/>
    </xf>
    <xf numFmtId="14" fontId="6" fillId="0" borderId="1" xfId="2" applyNumberFormat="1" applyBorder="1" applyAlignment="1">
      <alignment horizontal="center" vertical="center"/>
    </xf>
    <xf numFmtId="0" fontId="6" fillId="0" borderId="0" xfId="2">
      <alignment vertical="center"/>
    </xf>
    <xf numFmtId="176" fontId="6" fillId="0" borderId="2" xfId="2" applyNumberFormat="1" applyBorder="1" applyAlignment="1">
      <alignment horizontal="center" vertical="top" wrapText="1"/>
    </xf>
    <xf numFmtId="0" fontId="6" fillId="0" borderId="1" xfId="2" applyBorder="1" applyAlignment="1">
      <alignment horizontal="left" vertical="top" wrapText="1"/>
    </xf>
    <xf numFmtId="49" fontId="6" fillId="0" borderId="1" xfId="2" applyNumberFormat="1" applyBorder="1" applyAlignment="1">
      <alignment horizontal="left" vertical="top" wrapText="1"/>
    </xf>
    <xf numFmtId="14" fontId="6" fillId="0" borderId="1" xfId="2" applyNumberFormat="1" applyBorder="1" applyAlignment="1">
      <alignment horizontal="center" vertical="top" wrapText="1"/>
    </xf>
    <xf numFmtId="176" fontId="6" fillId="4" borderId="2" xfId="2" applyNumberFormat="1" applyFill="1" applyBorder="1" applyAlignment="1">
      <alignment horizontal="center" vertical="top" wrapText="1"/>
    </xf>
    <xf numFmtId="0" fontId="6" fillId="4" borderId="1" xfId="2" applyFill="1" applyBorder="1" applyAlignment="1">
      <alignment horizontal="center" vertical="center"/>
    </xf>
    <xf numFmtId="176" fontId="6" fillId="4" borderId="1" xfId="2" applyNumberFormat="1" applyFill="1" applyBorder="1" applyAlignment="1">
      <alignment horizontal="center"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4" borderId="3" xfId="0" applyFill="1" applyBorder="1" applyAlignment="1">
      <alignment horizontal="center" vertical="top"/>
    </xf>
    <xf numFmtId="0" fontId="5" fillId="4" borderId="3" xfId="1" applyFill="1" applyBorder="1" applyAlignment="1" applyProtection="1">
      <alignment horizontal="center" vertical="top"/>
    </xf>
    <xf numFmtId="0" fontId="0" fillId="4" borderId="1" xfId="0" applyFill="1" applyBorder="1" applyAlignment="1">
      <alignment horizontal="center" vertical="top"/>
    </xf>
    <xf numFmtId="0" fontId="0" fillId="4" borderId="0" xfId="0" applyFill="1" applyAlignment="1">
      <alignment horizontal="center" vertical="center"/>
    </xf>
    <xf numFmtId="0" fontId="0" fillId="2" borderId="1" xfId="0" applyFill="1" applyBorder="1" applyAlignment="1">
      <alignment horizontal="center" vertical="center"/>
    </xf>
    <xf numFmtId="176" fontId="6" fillId="0" borderId="1" xfId="2" applyNumberFormat="1" applyBorder="1" applyAlignment="1">
      <alignment horizontal="center" vertical="top" wrapText="1"/>
    </xf>
    <xf numFmtId="0" fontId="9" fillId="0" borderId="0" xfId="0" applyFont="1">
      <alignment vertical="center"/>
    </xf>
    <xf numFmtId="0" fontId="10" fillId="0" borderId="0" xfId="0" applyFont="1">
      <alignment vertical="center"/>
    </xf>
    <xf numFmtId="0" fontId="11" fillId="0" borderId="0" xfId="0" applyFont="1">
      <alignment vertical="center"/>
    </xf>
    <xf numFmtId="176" fontId="6" fillId="5" borderId="1" xfId="2" applyNumberFormat="1" applyFill="1" applyBorder="1" applyAlignment="1">
      <alignment horizontal="center" vertical="top" wrapText="1"/>
    </xf>
    <xf numFmtId="0" fontId="6" fillId="5" borderId="1" xfId="2" applyFill="1" applyBorder="1" applyAlignment="1">
      <alignment horizontal="left" vertical="top" wrapText="1"/>
    </xf>
    <xf numFmtId="49" fontId="6" fillId="5" borderId="1" xfId="2" applyNumberFormat="1" applyFill="1" applyBorder="1" applyAlignment="1">
      <alignment horizontal="left" vertical="top" wrapText="1"/>
    </xf>
    <xf numFmtId="14" fontId="6" fillId="5" borderId="1" xfId="2" applyNumberFormat="1" applyFill="1" applyBorder="1" applyAlignment="1">
      <alignment horizontal="center" vertical="top" wrapText="1"/>
    </xf>
    <xf numFmtId="0" fontId="0" fillId="5" borderId="0" xfId="0" applyFill="1">
      <alignment vertical="center"/>
    </xf>
    <xf numFmtId="0" fontId="0" fillId="0" borderId="2" xfId="0" applyBorder="1">
      <alignment vertical="center"/>
    </xf>
    <xf numFmtId="0" fontId="0" fillId="4" borderId="12" xfId="0" applyFill="1" applyBorder="1" applyAlignment="1">
      <alignment horizontal="center" vertical="center"/>
    </xf>
    <xf numFmtId="0" fontId="0" fillId="4" borderId="13" xfId="0" applyFill="1" applyBorder="1" applyAlignment="1">
      <alignment horizontal="center" vertical="center"/>
    </xf>
    <xf numFmtId="0" fontId="0" fillId="4" borderId="11" xfId="0" applyFill="1" applyBorder="1" applyAlignment="1">
      <alignment horizontal="center" vertical="center"/>
    </xf>
    <xf numFmtId="0" fontId="0" fillId="0" borderId="11" xfId="0" applyBorder="1">
      <alignment vertical="center"/>
    </xf>
    <xf numFmtId="0" fontId="6" fillId="4" borderId="1" xfId="2" applyFill="1" applyBorder="1" applyAlignment="1">
      <alignment horizontal="left" vertical="center"/>
    </xf>
    <xf numFmtId="0" fontId="6" fillId="0" borderId="2" xfId="2" applyBorder="1" applyAlignment="1">
      <alignment horizontal="left" vertical="top" wrapText="1"/>
    </xf>
    <xf numFmtId="0" fontId="0" fillId="4" borderId="4" xfId="0" applyFill="1" applyBorder="1" applyAlignment="1">
      <alignment horizontal="center" vertical="center"/>
    </xf>
    <xf numFmtId="0" fontId="7" fillId="3" borderId="6"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5" fillId="4" borderId="5" xfId="1" applyFill="1" applyBorder="1" applyAlignment="1" applyProtection="1">
      <alignment horizontal="center" vertical="center"/>
    </xf>
    <xf numFmtId="0" fontId="5" fillId="4" borderId="9" xfId="1" applyFill="1" applyBorder="1" applyAlignment="1" applyProtection="1">
      <alignment horizontal="center" vertical="center"/>
    </xf>
    <xf numFmtId="0" fontId="5" fillId="4" borderId="10" xfId="1" applyFill="1" applyBorder="1" applyAlignment="1" applyProtection="1">
      <alignment horizontal="center" vertical="center"/>
    </xf>
    <xf numFmtId="0" fontId="5" fillId="4" borderId="11" xfId="1" applyFill="1" applyBorder="1" applyAlignment="1" applyProtection="1">
      <alignment horizontal="center" vertical="center"/>
    </xf>
    <xf numFmtId="0" fontId="6" fillId="4" borderId="2" xfId="2" applyFill="1" applyBorder="1" applyAlignment="1">
      <alignment horizontal="center" vertical="center"/>
    </xf>
    <xf numFmtId="0" fontId="6" fillId="4" borderId="4" xfId="2" applyFill="1" applyBorder="1" applyAlignment="1">
      <alignment horizontal="center" vertical="center"/>
    </xf>
    <xf numFmtId="0" fontId="7" fillId="3" borderId="6" xfId="2" applyFont="1" applyFill="1" applyBorder="1" applyAlignment="1">
      <alignment horizontal="left" vertical="center"/>
    </xf>
    <xf numFmtId="0" fontId="7" fillId="3" borderId="7" xfId="2" applyFont="1" applyFill="1" applyBorder="1" applyAlignment="1">
      <alignment horizontal="left" vertical="center"/>
    </xf>
    <xf numFmtId="0" fontId="7" fillId="3" borderId="8" xfId="2" applyFont="1" applyFill="1" applyBorder="1" applyAlignment="1">
      <alignment horizontal="left" vertical="center"/>
    </xf>
    <xf numFmtId="49" fontId="6" fillId="0" borderId="6" xfId="2" applyNumberFormat="1" applyBorder="1" applyAlignment="1">
      <alignment horizontal="left" vertical="top"/>
    </xf>
    <xf numFmtId="49" fontId="6" fillId="0" borderId="7" xfId="2" applyNumberFormat="1" applyBorder="1" applyAlignment="1">
      <alignment horizontal="left" vertical="top"/>
    </xf>
    <xf numFmtId="49" fontId="6" fillId="0" borderId="8" xfId="2" applyNumberFormat="1" applyBorder="1" applyAlignment="1">
      <alignment horizontal="left" vertical="top"/>
    </xf>
    <xf numFmtId="0" fontId="0" fillId="0" borderId="0" xfId="0" applyAlignment="1">
      <alignment horizontal="left" vertical="top" wrapText="1"/>
    </xf>
    <xf numFmtId="0" fontId="0" fillId="0" borderId="0" xfId="0" applyAlignment="1">
      <alignment horizontal="left" vertical="top"/>
    </xf>
  </cellXfs>
  <cellStyles count="3">
    <cellStyle name="ハイパーリンク" xfId="1" builtinId="8"/>
    <cellStyle name="標準" xfId="0" builtinId="0"/>
    <cellStyle name="標準 2" xfId="2" xr:uid="{00000000-0005-0000-0000-000002000000}"/>
  </cellStyles>
  <dxfs count="31">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xdr:col>
      <xdr:colOff>296716</xdr:colOff>
      <xdr:row>41</xdr:row>
      <xdr:rowOff>43062</xdr:rowOff>
    </xdr:from>
    <xdr:to>
      <xdr:col>6</xdr:col>
      <xdr:colOff>264059</xdr:colOff>
      <xdr:row>49</xdr:row>
      <xdr:rowOff>166806</xdr:rowOff>
    </xdr:to>
    <xdr:sp macro="" textlink="">
      <xdr:nvSpPr>
        <xdr:cNvPr id="2" name="四角形: 角を丸くする 1">
          <a:extLst>
            <a:ext uri="{FF2B5EF4-FFF2-40B4-BE49-F238E27FC236}">
              <a16:creationId xmlns:a16="http://schemas.microsoft.com/office/drawing/2014/main" id="{5E424607-81DE-4A17-AE95-3605C7F72502}"/>
            </a:ext>
          </a:extLst>
        </xdr:cNvPr>
        <xdr:cNvSpPr/>
      </xdr:nvSpPr>
      <xdr:spPr>
        <a:xfrm>
          <a:off x="997756" y="9289932"/>
          <a:ext cx="3472543" cy="1922064"/>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RestTemplate1</a:t>
          </a:r>
          <a:r>
            <a:rPr kumimoji="1" lang="en-US" altLang="ja-JP" sz="1000" b="1">
              <a:solidFill>
                <a:srgbClr val="FF0000"/>
              </a:solidFill>
            </a:rPr>
            <a:t>(</a:t>
          </a:r>
          <a:r>
            <a:rPr kumimoji="1" lang="ja-JP" altLang="en-US" sz="1000" b="1">
              <a:solidFill>
                <a:srgbClr val="FF0000"/>
              </a:solidFill>
            </a:rPr>
            <a:t>これをデフォルト値とする</a:t>
          </a:r>
          <a:r>
            <a:rPr kumimoji="1" lang="en-US" altLang="ja-JP" sz="1000" b="1">
              <a:solidFill>
                <a:srgbClr val="FF0000"/>
              </a:solidFill>
            </a:rPr>
            <a:t>)</a:t>
          </a:r>
          <a:endParaRPr kumimoji="1" lang="en-US" altLang="ja-JP" sz="1600" b="1">
            <a:solidFill>
              <a:srgbClr val="FF0000"/>
            </a:solidFill>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setMaxConnTotal = 2</a:t>
          </a:r>
          <a:endParaRPr lang="ja-JP" altLang="ja-JP">
            <a:solidFill>
              <a:sysClr val="windowText" lastClr="000000"/>
            </a:solidFill>
            <a:effectLst/>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 = 1</a:t>
          </a: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setSoTimeout = 3 </a:t>
          </a:r>
          <a:r>
            <a:rPr lang="ja-JP" altLang="en-US" sz="1100">
              <a:solidFill>
                <a:sysClr val="windowText" lastClr="000000"/>
              </a:solidFill>
              <a:effectLst/>
              <a:latin typeface="+mn-lt"/>
              <a:ea typeface="+mn-ea"/>
              <a:cs typeface="+mn-cs"/>
            </a:rPr>
            <a:t>分</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ConnectTimeout = 5</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ResponseTimeout = 10</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setConnectionTimeToLive = 1 </a:t>
          </a:r>
          <a:r>
            <a:rPr lang="ja-JP" altLang="en-US" sz="1100">
              <a:solidFill>
                <a:sysClr val="windowText" lastClr="000000"/>
              </a:solidFill>
              <a:effectLst/>
              <a:latin typeface="+mn-lt"/>
              <a:ea typeface="+mn-ea"/>
              <a:cs typeface="+mn-cs"/>
            </a:rPr>
            <a:t>分</a:t>
          </a:r>
          <a:endParaRPr lang="ja-JP" altLang="ja-JP">
            <a:solidFill>
              <a:sysClr val="windowText" lastClr="000000"/>
            </a:solidFill>
            <a:effectLst/>
          </a:endParaRPr>
        </a:p>
        <a:p>
          <a:pPr algn="l"/>
          <a:endParaRPr kumimoji="1" lang="ja-JP" altLang="en-US" sz="1100" b="1">
            <a:solidFill>
              <a:sysClr val="windowText" lastClr="000000"/>
            </a:solidFill>
          </a:endParaRPr>
        </a:p>
      </xdr:txBody>
    </xdr:sp>
    <xdr:clientData/>
  </xdr:twoCellAnchor>
  <xdr:twoCellAnchor>
    <xdr:from>
      <xdr:col>1</xdr:col>
      <xdr:colOff>28575</xdr:colOff>
      <xdr:row>6</xdr:row>
      <xdr:rowOff>19050</xdr:rowOff>
    </xdr:from>
    <xdr:to>
      <xdr:col>5</xdr:col>
      <xdr:colOff>676275</xdr:colOff>
      <xdr:row>14</xdr:row>
      <xdr:rowOff>152400</xdr:rowOff>
    </xdr:to>
    <xdr:sp macro="" textlink="">
      <xdr:nvSpPr>
        <xdr:cNvPr id="3" name="四角形: 角を丸くする 2">
          <a:extLst>
            <a:ext uri="{FF2B5EF4-FFF2-40B4-BE49-F238E27FC236}">
              <a16:creationId xmlns:a16="http://schemas.microsoft.com/office/drawing/2014/main" id="{0F0F2C03-D8D5-4FC0-8588-648B37894F65}"/>
            </a:ext>
          </a:extLst>
        </xdr:cNvPr>
        <xdr:cNvSpPr/>
      </xdr:nvSpPr>
      <xdr:spPr>
        <a:xfrm>
          <a:off x="729615" y="1398270"/>
          <a:ext cx="3451860" cy="1931670"/>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RestTemplate1</a:t>
          </a:r>
          <a:r>
            <a:rPr kumimoji="1" lang="en-US" altLang="ja-JP" sz="1000" b="1">
              <a:solidFill>
                <a:srgbClr val="FF0000"/>
              </a:solidFill>
            </a:rPr>
            <a:t>(</a:t>
          </a:r>
          <a:r>
            <a:rPr kumimoji="1" lang="ja-JP" altLang="en-US" sz="1000" b="1">
              <a:solidFill>
                <a:srgbClr val="FF0000"/>
              </a:solidFill>
            </a:rPr>
            <a:t>これをデフォルト値とする</a:t>
          </a:r>
          <a:r>
            <a:rPr kumimoji="1" lang="en-US" altLang="ja-JP" sz="1000" b="1">
              <a:solidFill>
                <a:srgbClr val="FF0000"/>
              </a:solidFill>
            </a:rPr>
            <a:t>)</a:t>
          </a:r>
          <a:endParaRPr kumimoji="1" lang="en-US" altLang="ja-JP" sz="1600" b="1">
            <a:solidFill>
              <a:srgbClr val="FF0000"/>
            </a:solidFill>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setMaxConnTotal = 2</a:t>
          </a:r>
          <a:endParaRPr lang="ja-JP" altLang="ja-JP">
            <a:solidFill>
              <a:sysClr val="windowText" lastClr="000000"/>
            </a:solidFill>
            <a:effectLst/>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 = 1</a:t>
          </a: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setSoTimeout = 3 </a:t>
          </a:r>
          <a:r>
            <a:rPr lang="ja-JP" altLang="en-US" sz="1100">
              <a:solidFill>
                <a:sysClr val="windowText" lastClr="000000"/>
              </a:solidFill>
              <a:effectLst/>
              <a:latin typeface="+mn-lt"/>
              <a:ea typeface="+mn-ea"/>
              <a:cs typeface="+mn-cs"/>
            </a:rPr>
            <a:t>分</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setConnectTimeout = 5</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setResponseTimeout = 10</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setConnectionTimeToLive = 1 </a:t>
          </a:r>
          <a:r>
            <a:rPr lang="ja-JP" altLang="en-US" sz="1100">
              <a:solidFill>
                <a:sysClr val="windowText" lastClr="000000"/>
              </a:solidFill>
              <a:effectLst/>
              <a:latin typeface="+mn-lt"/>
              <a:ea typeface="+mn-ea"/>
              <a:cs typeface="+mn-cs"/>
            </a:rPr>
            <a:t>分</a:t>
          </a:r>
          <a:endParaRPr lang="ja-JP" altLang="ja-JP">
            <a:solidFill>
              <a:sysClr val="windowText" lastClr="000000"/>
            </a:solidFill>
            <a:effectLst/>
          </a:endParaRPr>
        </a:p>
        <a:p>
          <a:pPr algn="l"/>
          <a:endParaRPr kumimoji="1" lang="ja-JP" altLang="en-US" sz="1100" b="1">
            <a:solidFill>
              <a:sysClr val="windowText" lastClr="000000"/>
            </a:solidFill>
          </a:endParaRPr>
        </a:p>
      </xdr:txBody>
    </xdr:sp>
    <xdr:clientData/>
  </xdr:twoCellAnchor>
  <xdr:twoCellAnchor>
    <xdr:from>
      <xdr:col>1</xdr:col>
      <xdr:colOff>6163</xdr:colOff>
      <xdr:row>108</xdr:row>
      <xdr:rowOff>34633</xdr:rowOff>
    </xdr:from>
    <xdr:to>
      <xdr:col>5</xdr:col>
      <xdr:colOff>653863</xdr:colOff>
      <xdr:row>119</xdr:row>
      <xdr:rowOff>28575</xdr:rowOff>
    </xdr:to>
    <xdr:sp macro="" textlink="">
      <xdr:nvSpPr>
        <xdr:cNvPr id="4" name="四角形: 角を丸くする 3">
          <a:extLst>
            <a:ext uri="{FF2B5EF4-FFF2-40B4-BE49-F238E27FC236}">
              <a16:creationId xmlns:a16="http://schemas.microsoft.com/office/drawing/2014/main" id="{CCEC4E9D-0433-4980-904A-015978D46271}"/>
            </a:ext>
          </a:extLst>
        </xdr:cNvPr>
        <xdr:cNvSpPr/>
      </xdr:nvSpPr>
      <xdr:spPr>
        <a:xfrm>
          <a:off x="691963" y="18551233"/>
          <a:ext cx="3390900" cy="1879892"/>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RestTemplate2</a:t>
          </a:r>
          <a:r>
            <a:rPr kumimoji="1" lang="ja-JP" altLang="en-US" sz="1050" b="1">
              <a:solidFill>
                <a:srgbClr val="FF0000"/>
              </a:solidFill>
            </a:rPr>
            <a:t>（異常な</a:t>
          </a:r>
          <a:r>
            <a:rPr kumimoji="1" lang="en-US" altLang="ja-JP" sz="1050" b="1">
              <a:solidFill>
                <a:srgbClr val="FF0000"/>
              </a:solidFill>
            </a:rPr>
            <a:t>RestTemplate</a:t>
          </a:r>
          <a:r>
            <a:rPr kumimoji="1" lang="ja-JP" altLang="en-US" sz="1050" b="1">
              <a:solidFill>
                <a:srgbClr val="FF0000"/>
              </a:solidFill>
            </a:rPr>
            <a:t>と分かるような名前を付けること）</a:t>
          </a:r>
          <a:endParaRPr kumimoji="1" lang="en-US" altLang="ja-JP" sz="1050" b="1">
            <a:solidFill>
              <a:srgbClr val="FF0000"/>
            </a:solidFill>
          </a:endParaRPr>
        </a:p>
        <a:p>
          <a:pPr algn="l"/>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setMaxConnTotal = 2</a:t>
          </a:r>
          <a:endParaRPr lang="ja-JP" altLang="ja-JP">
            <a:solidFill>
              <a:sysClr val="windowText" lastClr="000000"/>
            </a:solidFill>
            <a:effectLst/>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 = 1</a:t>
          </a: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setHandshakeTimeout = </a:t>
          </a:r>
          <a:r>
            <a:rPr lang="en-US" altLang="ja-JP" sz="1100" b="1">
              <a:solidFill>
                <a:srgbClr val="FF0000"/>
              </a:solidFill>
              <a:effectLst/>
              <a:latin typeface="+mn-lt"/>
              <a:ea typeface="+mn-ea"/>
              <a:cs typeface="+mn-cs"/>
            </a:rPr>
            <a:t>1</a:t>
          </a:r>
          <a:r>
            <a:rPr lang="ja-JP" altLang="en-US" sz="1100" b="1">
              <a:solidFill>
                <a:srgbClr val="FF0000"/>
              </a:solidFill>
              <a:effectLst/>
              <a:latin typeface="+mn-lt"/>
              <a:ea typeface="+mn-ea"/>
              <a:cs typeface="+mn-cs"/>
            </a:rPr>
            <a:t>ミリ秒</a:t>
          </a:r>
          <a:endParaRPr lang="en-US" altLang="ja-JP" sz="1100" b="1">
            <a:solidFill>
              <a:srgbClr val="FF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ConnectTimeout = 5</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ResponseTimeout = 5</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setConnectionTimeToLive = </a:t>
          </a:r>
          <a:r>
            <a:rPr lang="en-US" altLang="ja-JP" sz="1100" b="1">
              <a:solidFill>
                <a:srgbClr val="FF0000"/>
              </a:solidFill>
              <a:effectLst/>
              <a:latin typeface="+mn-lt"/>
              <a:ea typeface="+mn-ea"/>
              <a:cs typeface="+mn-cs"/>
            </a:rPr>
            <a:t>10</a:t>
          </a:r>
          <a:r>
            <a:rPr lang="ja-JP" altLang="en-US" sz="1100" b="1">
              <a:solidFill>
                <a:srgbClr val="FF0000"/>
              </a:solidFill>
              <a:effectLst/>
              <a:latin typeface="+mn-lt"/>
              <a:ea typeface="+mn-ea"/>
              <a:cs typeface="+mn-cs"/>
            </a:rPr>
            <a:t>秒</a:t>
          </a:r>
          <a:endParaRPr kumimoji="1" lang="ja-JP" altLang="en-US" sz="1100" b="1">
            <a:solidFill>
              <a:srgbClr val="FF0000"/>
            </a:solidFill>
          </a:endParaRPr>
        </a:p>
      </xdr:txBody>
    </xdr:sp>
    <xdr:clientData/>
  </xdr:twoCellAnchor>
  <xdr:twoCellAnchor>
    <xdr:from>
      <xdr:col>13</xdr:col>
      <xdr:colOff>0</xdr:colOff>
      <xdr:row>6</xdr:row>
      <xdr:rowOff>19051</xdr:rowOff>
    </xdr:from>
    <xdr:to>
      <xdr:col>18</xdr:col>
      <xdr:colOff>419662</xdr:colOff>
      <xdr:row>17</xdr:row>
      <xdr:rowOff>95250</xdr:rowOff>
    </xdr:to>
    <xdr:sp macro="" textlink="">
      <xdr:nvSpPr>
        <xdr:cNvPr id="5" name="四角形: 角を丸くする 4">
          <a:extLst>
            <a:ext uri="{FF2B5EF4-FFF2-40B4-BE49-F238E27FC236}">
              <a16:creationId xmlns:a16="http://schemas.microsoft.com/office/drawing/2014/main" id="{F76CE9F2-E67E-4B24-B8AC-AC772A1A4DE8}"/>
            </a:ext>
          </a:extLst>
        </xdr:cNvPr>
        <xdr:cNvSpPr/>
      </xdr:nvSpPr>
      <xdr:spPr>
        <a:xfrm>
          <a:off x="9113520" y="1398271"/>
          <a:ext cx="3924862" cy="2548889"/>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HTTPS server1</a:t>
          </a:r>
          <a:endParaRPr kumimoji="1" lang="ja-JP" altLang="en-US" sz="1100" b="1">
            <a:solidFill>
              <a:sysClr val="windowText" lastClr="000000"/>
            </a:solidFill>
          </a:endParaRPr>
        </a:p>
      </xdr:txBody>
    </xdr:sp>
    <xdr:clientData/>
  </xdr:twoCellAnchor>
  <xdr:twoCellAnchor>
    <xdr:from>
      <xdr:col>14</xdr:col>
      <xdr:colOff>247654</xdr:colOff>
      <xdr:row>9</xdr:row>
      <xdr:rowOff>28015</xdr:rowOff>
    </xdr:from>
    <xdr:to>
      <xdr:col>17</xdr:col>
      <xdr:colOff>77324</xdr:colOff>
      <xdr:row>11</xdr:row>
      <xdr:rowOff>98053</xdr:rowOff>
    </xdr:to>
    <xdr:sp macro="" textlink="">
      <xdr:nvSpPr>
        <xdr:cNvPr id="6" name="四角形: 角を丸くする 5">
          <a:extLst>
            <a:ext uri="{FF2B5EF4-FFF2-40B4-BE49-F238E27FC236}">
              <a16:creationId xmlns:a16="http://schemas.microsoft.com/office/drawing/2014/main" id="{935912D8-E0C3-45E4-81A1-BDBC4A98924A}"/>
            </a:ext>
          </a:extLst>
        </xdr:cNvPr>
        <xdr:cNvSpPr/>
      </xdr:nvSpPr>
      <xdr:spPr>
        <a:xfrm>
          <a:off x="10062214" y="2081605"/>
          <a:ext cx="1932790" cy="519618"/>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800" b="1">
              <a:solidFill>
                <a:sysClr val="windowText" lastClr="000000"/>
              </a:solidFill>
              <a:effectLst/>
              <a:latin typeface="+mn-lt"/>
              <a:ea typeface="+mn-ea"/>
              <a:cs typeface="+mn-cs"/>
            </a:rPr>
            <a:t>/api/v1/rscl1</a:t>
          </a:r>
        </a:p>
      </xdr:txBody>
    </xdr:sp>
    <xdr:clientData/>
  </xdr:twoCellAnchor>
  <xdr:twoCellAnchor>
    <xdr:from>
      <xdr:col>14</xdr:col>
      <xdr:colOff>257179</xdr:colOff>
      <xdr:row>13</xdr:row>
      <xdr:rowOff>18032</xdr:rowOff>
    </xdr:from>
    <xdr:to>
      <xdr:col>17</xdr:col>
      <xdr:colOff>86849</xdr:colOff>
      <xdr:row>15</xdr:row>
      <xdr:rowOff>88070</xdr:rowOff>
    </xdr:to>
    <xdr:sp macro="" textlink="">
      <xdr:nvSpPr>
        <xdr:cNvPr id="7" name="四角形: 角を丸くする 6">
          <a:extLst>
            <a:ext uri="{FF2B5EF4-FFF2-40B4-BE49-F238E27FC236}">
              <a16:creationId xmlns:a16="http://schemas.microsoft.com/office/drawing/2014/main" id="{B5E1BFF5-6FE3-4BA0-999E-3995A774CC9D}"/>
            </a:ext>
          </a:extLst>
        </xdr:cNvPr>
        <xdr:cNvSpPr/>
      </xdr:nvSpPr>
      <xdr:spPr>
        <a:xfrm>
          <a:off x="10071739" y="2970782"/>
          <a:ext cx="1932790" cy="519618"/>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800" b="1">
              <a:solidFill>
                <a:srgbClr val="FF0000"/>
              </a:solidFill>
              <a:effectLst/>
              <a:latin typeface="+mn-lt"/>
              <a:ea typeface="+mn-ea"/>
              <a:cs typeface="+mn-cs"/>
            </a:rPr>
            <a:t>/api/v1/rscl2</a:t>
          </a:r>
        </a:p>
      </xdr:txBody>
    </xdr:sp>
    <xdr:clientData/>
  </xdr:twoCellAnchor>
  <xdr:twoCellAnchor>
    <xdr:from>
      <xdr:col>5</xdr:col>
      <xdr:colOff>676275</xdr:colOff>
      <xdr:row>10</xdr:row>
      <xdr:rowOff>63034</xdr:rowOff>
    </xdr:from>
    <xdr:to>
      <xdr:col>14</xdr:col>
      <xdr:colOff>247654</xdr:colOff>
      <xdr:row>10</xdr:row>
      <xdr:rowOff>85725</xdr:rowOff>
    </xdr:to>
    <xdr:cxnSp macro="">
      <xdr:nvCxnSpPr>
        <xdr:cNvPr id="8" name="直線矢印コネクタ 7">
          <a:extLst>
            <a:ext uri="{FF2B5EF4-FFF2-40B4-BE49-F238E27FC236}">
              <a16:creationId xmlns:a16="http://schemas.microsoft.com/office/drawing/2014/main" id="{B55E346D-8094-45D4-924A-26653DC8D7FD}"/>
            </a:ext>
          </a:extLst>
        </xdr:cNvPr>
        <xdr:cNvCxnSpPr>
          <a:stCxn id="3" idx="3"/>
          <a:endCxn id="6" idx="1"/>
        </xdr:cNvCxnSpPr>
      </xdr:nvCxnSpPr>
      <xdr:spPr>
        <a:xfrm flipV="1">
          <a:off x="4181475" y="2341414"/>
          <a:ext cx="5880739" cy="2269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476250</xdr:colOff>
      <xdr:row>6</xdr:row>
      <xdr:rowOff>6165</xdr:rowOff>
    </xdr:from>
    <xdr:to>
      <xdr:col>12</xdr:col>
      <xdr:colOff>352425</xdr:colOff>
      <xdr:row>9</xdr:row>
      <xdr:rowOff>212912</xdr:rowOff>
    </xdr:to>
    <xdr:sp macro="" textlink="">
      <xdr:nvSpPr>
        <xdr:cNvPr id="9" name="吹き出し: 線 8">
          <a:extLst>
            <a:ext uri="{FF2B5EF4-FFF2-40B4-BE49-F238E27FC236}">
              <a16:creationId xmlns:a16="http://schemas.microsoft.com/office/drawing/2014/main" id="{FD1D81F8-C64F-4F8C-B0CC-F387DFB7DAE6}"/>
            </a:ext>
          </a:extLst>
        </xdr:cNvPr>
        <xdr:cNvSpPr/>
      </xdr:nvSpPr>
      <xdr:spPr>
        <a:xfrm>
          <a:off x="6785610" y="1385385"/>
          <a:ext cx="1979295" cy="881117"/>
        </a:xfrm>
        <a:prstGeom prst="borderCallout1">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050">
              <a:solidFill>
                <a:sysClr val="windowText" lastClr="000000"/>
              </a:solidFill>
              <a:effectLst/>
              <a:latin typeface="+mn-lt"/>
              <a:ea typeface="+mn-ea"/>
              <a:cs typeface="+mn-cs"/>
            </a:rPr>
            <a:t>RSCL1401</a:t>
          </a:r>
          <a:r>
            <a:rPr kumimoji="1" lang="ja-JP" altLang="ja-JP" sz="1050">
              <a:solidFill>
                <a:sysClr val="windowText" lastClr="000000"/>
              </a:solidFill>
              <a:effectLst/>
              <a:latin typeface="+mn-lt"/>
              <a:ea typeface="+mn-ea"/>
              <a:cs typeface="+mn-cs"/>
            </a:rPr>
            <a:t>：</a:t>
          </a:r>
          <a:r>
            <a:rPr kumimoji="1" lang="en-US" altLang="ja-JP" sz="1050">
              <a:solidFill>
                <a:sysClr val="windowText" lastClr="000000"/>
              </a:solidFill>
              <a:effectLst/>
              <a:latin typeface="+mn-lt"/>
              <a:ea typeface="+mn-ea"/>
              <a:cs typeface="+mn-cs"/>
            </a:rPr>
            <a:t>SSL</a:t>
          </a:r>
          <a:r>
            <a:rPr kumimoji="1" lang="ja-JP" altLang="ja-JP" sz="1050">
              <a:solidFill>
                <a:sysClr val="windowText" lastClr="000000"/>
              </a:solidFill>
              <a:effectLst/>
              <a:latin typeface="+mn-lt"/>
              <a:ea typeface="+mn-ea"/>
              <a:cs typeface="+mn-cs"/>
            </a:rPr>
            <a:t>通信できること。</a:t>
          </a:r>
          <a:endParaRPr lang="ja-JP" altLang="ja-JP" sz="1050">
            <a:solidFill>
              <a:sysClr val="windowText" lastClr="000000"/>
            </a:solidFill>
            <a:effectLst/>
          </a:endParaRPr>
        </a:p>
        <a:p>
          <a:r>
            <a:rPr kumimoji="1" lang="ja-JP" altLang="ja-JP" sz="1050">
              <a:solidFill>
                <a:sysClr val="windowText" lastClr="000000"/>
              </a:solidFill>
              <a:effectLst/>
              <a:latin typeface="+mn-lt"/>
              <a:ea typeface="+mn-ea"/>
              <a:cs typeface="+mn-cs"/>
            </a:rPr>
            <a:t>・条件なし</a:t>
          </a:r>
          <a:endParaRPr lang="ja-JP" altLang="ja-JP" sz="1050">
            <a:solidFill>
              <a:sysClr val="windowText" lastClr="000000"/>
            </a:solidFill>
            <a:effectLst/>
          </a:endParaRPr>
        </a:p>
        <a:p>
          <a:pPr algn="l"/>
          <a:endParaRPr kumimoji="1" lang="ja-JP" altLang="en-US" sz="1050">
            <a:solidFill>
              <a:sysClr val="windowText" lastClr="000000"/>
            </a:solidFill>
          </a:endParaRPr>
        </a:p>
      </xdr:txBody>
    </xdr:sp>
    <xdr:clientData/>
  </xdr:twoCellAnchor>
  <xdr:twoCellAnchor>
    <xdr:from>
      <xdr:col>13</xdr:col>
      <xdr:colOff>0</xdr:colOff>
      <xdr:row>19</xdr:row>
      <xdr:rowOff>114300</xdr:rowOff>
    </xdr:from>
    <xdr:to>
      <xdr:col>18</xdr:col>
      <xdr:colOff>419662</xdr:colOff>
      <xdr:row>35</xdr:row>
      <xdr:rowOff>44823</xdr:rowOff>
    </xdr:to>
    <xdr:sp macro="" textlink="">
      <xdr:nvSpPr>
        <xdr:cNvPr id="10" name="四角形: 角を丸くする 9">
          <a:extLst>
            <a:ext uri="{FF2B5EF4-FFF2-40B4-BE49-F238E27FC236}">
              <a16:creationId xmlns:a16="http://schemas.microsoft.com/office/drawing/2014/main" id="{CE070B17-24F0-48E4-97C8-4EB99ABFA619}"/>
            </a:ext>
          </a:extLst>
        </xdr:cNvPr>
        <xdr:cNvSpPr/>
      </xdr:nvSpPr>
      <xdr:spPr>
        <a:xfrm>
          <a:off x="9113520" y="4415790"/>
          <a:ext cx="3924862" cy="3527163"/>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HTTPS server1</a:t>
          </a:r>
          <a:endParaRPr kumimoji="1" lang="ja-JP" altLang="en-US" sz="1100" b="1">
            <a:solidFill>
              <a:sysClr val="windowText" lastClr="000000"/>
            </a:solidFill>
          </a:endParaRPr>
        </a:p>
      </xdr:txBody>
    </xdr:sp>
    <xdr:clientData/>
  </xdr:twoCellAnchor>
  <xdr:twoCellAnchor>
    <xdr:from>
      <xdr:col>14</xdr:col>
      <xdr:colOff>247654</xdr:colOff>
      <xdr:row>22</xdr:row>
      <xdr:rowOff>123264</xdr:rowOff>
    </xdr:from>
    <xdr:to>
      <xdr:col>17</xdr:col>
      <xdr:colOff>77324</xdr:colOff>
      <xdr:row>24</xdr:row>
      <xdr:rowOff>193302</xdr:rowOff>
    </xdr:to>
    <xdr:sp macro="" textlink="">
      <xdr:nvSpPr>
        <xdr:cNvPr id="11" name="四角形: 角を丸くする 10">
          <a:extLst>
            <a:ext uri="{FF2B5EF4-FFF2-40B4-BE49-F238E27FC236}">
              <a16:creationId xmlns:a16="http://schemas.microsoft.com/office/drawing/2014/main" id="{3CEB180E-F22B-47D3-81C3-CCC0D20CC75D}"/>
            </a:ext>
          </a:extLst>
        </xdr:cNvPr>
        <xdr:cNvSpPr/>
      </xdr:nvSpPr>
      <xdr:spPr>
        <a:xfrm>
          <a:off x="10062214" y="5099124"/>
          <a:ext cx="1932790" cy="519618"/>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800" b="1">
              <a:solidFill>
                <a:sysClr val="windowText" lastClr="000000"/>
              </a:solidFill>
              <a:effectLst/>
              <a:latin typeface="+mn-lt"/>
              <a:ea typeface="+mn-ea"/>
              <a:cs typeface="+mn-cs"/>
            </a:rPr>
            <a:t>/api/v1/rscl1</a:t>
          </a:r>
        </a:p>
      </xdr:txBody>
    </xdr:sp>
    <xdr:clientData/>
  </xdr:twoCellAnchor>
  <xdr:twoCellAnchor>
    <xdr:from>
      <xdr:col>14</xdr:col>
      <xdr:colOff>257179</xdr:colOff>
      <xdr:row>26</xdr:row>
      <xdr:rowOff>113281</xdr:rowOff>
    </xdr:from>
    <xdr:to>
      <xdr:col>17</xdr:col>
      <xdr:colOff>86849</xdr:colOff>
      <xdr:row>28</xdr:row>
      <xdr:rowOff>183320</xdr:rowOff>
    </xdr:to>
    <xdr:sp macro="" textlink="">
      <xdr:nvSpPr>
        <xdr:cNvPr id="12" name="四角形: 角を丸くする 11">
          <a:extLst>
            <a:ext uri="{FF2B5EF4-FFF2-40B4-BE49-F238E27FC236}">
              <a16:creationId xmlns:a16="http://schemas.microsoft.com/office/drawing/2014/main" id="{1B75A09F-1172-4D55-987D-950916D8F45E}"/>
            </a:ext>
          </a:extLst>
        </xdr:cNvPr>
        <xdr:cNvSpPr/>
      </xdr:nvSpPr>
      <xdr:spPr>
        <a:xfrm>
          <a:off x="10071739" y="5988301"/>
          <a:ext cx="1932790" cy="519619"/>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800" b="1">
              <a:solidFill>
                <a:srgbClr val="FF0000"/>
              </a:solidFill>
              <a:effectLst/>
              <a:latin typeface="+mn-lt"/>
              <a:ea typeface="+mn-ea"/>
              <a:cs typeface="+mn-cs"/>
            </a:rPr>
            <a:t>/api/v1/rscl2</a:t>
          </a:r>
        </a:p>
      </xdr:txBody>
    </xdr:sp>
    <xdr:clientData/>
  </xdr:twoCellAnchor>
  <xdr:twoCellAnchor>
    <xdr:from>
      <xdr:col>6</xdr:col>
      <xdr:colOff>118383</xdr:colOff>
      <xdr:row>25</xdr:row>
      <xdr:rowOff>116141</xdr:rowOff>
    </xdr:from>
    <xdr:to>
      <xdr:col>14</xdr:col>
      <xdr:colOff>270065</xdr:colOff>
      <xdr:row>32</xdr:row>
      <xdr:rowOff>79844</xdr:rowOff>
    </xdr:to>
    <xdr:cxnSp macro="">
      <xdr:nvCxnSpPr>
        <xdr:cNvPr id="13" name="直線矢印コネクタ 12">
          <a:extLst>
            <a:ext uri="{FF2B5EF4-FFF2-40B4-BE49-F238E27FC236}">
              <a16:creationId xmlns:a16="http://schemas.microsoft.com/office/drawing/2014/main" id="{4DA33336-962C-4F8F-B45E-9FBCC0E054B6}"/>
            </a:ext>
          </a:extLst>
        </xdr:cNvPr>
        <xdr:cNvCxnSpPr>
          <a:stCxn id="15" idx="3"/>
          <a:endCxn id="63" idx="1"/>
        </xdr:cNvCxnSpPr>
      </xdr:nvCxnSpPr>
      <xdr:spPr>
        <a:xfrm>
          <a:off x="4324623" y="5766371"/>
          <a:ext cx="5760002" cy="15372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271342</xdr:colOff>
      <xdr:row>30</xdr:row>
      <xdr:rowOff>5140</xdr:rowOff>
    </xdr:from>
    <xdr:to>
      <xdr:col>12</xdr:col>
      <xdr:colOff>504265</xdr:colOff>
      <xdr:row>40</xdr:row>
      <xdr:rowOff>26670</xdr:rowOff>
    </xdr:to>
    <xdr:sp macro="" textlink="">
      <xdr:nvSpPr>
        <xdr:cNvPr id="14" name="吹き出し: 線 13">
          <a:extLst>
            <a:ext uri="{FF2B5EF4-FFF2-40B4-BE49-F238E27FC236}">
              <a16:creationId xmlns:a16="http://schemas.microsoft.com/office/drawing/2014/main" id="{7C1D574B-B53A-4761-8600-777F645A2311}"/>
            </a:ext>
          </a:extLst>
        </xdr:cNvPr>
        <xdr:cNvSpPr/>
      </xdr:nvSpPr>
      <xdr:spPr>
        <a:xfrm>
          <a:off x="4751902" y="4920040"/>
          <a:ext cx="3433323" cy="1659830"/>
        </a:xfrm>
        <a:prstGeom prst="borderCallout1">
          <a:avLst>
            <a:gd name="adj1" fmla="val 18750"/>
            <a:gd name="adj2" fmla="val -8333"/>
            <a:gd name="adj3" fmla="val -31581"/>
            <a:gd name="adj4" fmla="val -19588"/>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050">
              <a:solidFill>
                <a:sysClr val="windowText" lastClr="000000"/>
              </a:solidFill>
              <a:effectLst/>
              <a:latin typeface="+mn-lt"/>
              <a:ea typeface="+mn-ea"/>
              <a:cs typeface="+mn-cs"/>
            </a:rPr>
            <a:t>RSCL1402</a:t>
          </a:r>
          <a:r>
            <a:rPr kumimoji="1" lang="ja-JP" altLang="ja-JP" sz="105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a:t>
          </a:r>
          <a:r>
            <a:rPr lang="ja-JP" altLang="en-US" sz="1100" baseline="0">
              <a:solidFill>
                <a:sysClr val="windowText" lastClr="000000"/>
              </a:solidFill>
              <a:effectLst/>
              <a:latin typeface="+mn-lt"/>
              <a:ea typeface="+mn-ea"/>
              <a:cs typeface="+mn-cs"/>
            </a:rPr>
            <a:t> の確認</a:t>
          </a:r>
          <a:endParaRPr lang="en-US" altLang="ja-JP" sz="1100" baseline="0">
            <a:solidFill>
              <a:sysClr val="windowText" lastClr="000000"/>
            </a:solidFill>
            <a:effectLst/>
            <a:latin typeface="+mn-lt"/>
            <a:ea typeface="+mn-ea"/>
            <a:cs typeface="+mn-cs"/>
          </a:endParaRPr>
        </a:p>
        <a:p>
          <a:r>
            <a:rPr lang="ja-JP" altLang="en-US" sz="1100" baseline="0">
              <a:solidFill>
                <a:sysClr val="windowText" lastClr="000000"/>
              </a:solidFill>
              <a:effectLst/>
              <a:latin typeface="+mn-lt"/>
              <a:ea typeface="+mn-ea"/>
              <a:cs typeface="+mn-cs"/>
            </a:rPr>
            <a:t>・宛先に対するコネクション数の確認</a:t>
          </a:r>
          <a:endParaRPr lang="en-US" altLang="ja-JP" sz="1100" baseline="0">
            <a:solidFill>
              <a:sysClr val="windowText" lastClr="000000"/>
            </a:solidFill>
            <a:effectLst/>
            <a:latin typeface="+mn-lt"/>
            <a:ea typeface="+mn-ea"/>
            <a:cs typeface="+mn-cs"/>
          </a:endParaRPr>
        </a:p>
        <a:p>
          <a:endParaRPr lang="ja-JP" altLang="ja-JP" sz="1050">
            <a:solidFill>
              <a:sysClr val="windowText" lastClr="000000"/>
            </a:solidFill>
            <a:effectLst/>
          </a:endParaRPr>
        </a:p>
        <a:p>
          <a:r>
            <a:rPr kumimoji="1" lang="ja-JP" altLang="ja-JP" sz="1050">
              <a:solidFill>
                <a:sysClr val="windowText" lastClr="000000"/>
              </a:solidFill>
              <a:effectLst/>
              <a:latin typeface="+mn-lt"/>
              <a:ea typeface="+mn-ea"/>
              <a:cs typeface="+mn-cs"/>
            </a:rPr>
            <a:t>・</a:t>
          </a:r>
          <a:r>
            <a:rPr kumimoji="1" lang="ja-JP" altLang="en-US" sz="1050">
              <a:solidFill>
                <a:sysClr val="windowText" lastClr="000000"/>
              </a:solidFill>
              <a:effectLst/>
              <a:latin typeface="+mn-lt"/>
              <a:ea typeface="+mn-ea"/>
              <a:cs typeface="+mn-cs"/>
            </a:rPr>
            <a:t>後続が待たされること（プール解放待ちはエラーにならない）</a:t>
          </a:r>
          <a:endParaRPr kumimoji="1" lang="en-US" altLang="ja-JP" sz="1050">
            <a:solidFill>
              <a:sysClr val="windowText" lastClr="000000"/>
            </a:solidFill>
            <a:effectLst/>
            <a:latin typeface="+mn-lt"/>
            <a:ea typeface="+mn-ea"/>
            <a:cs typeface="+mn-cs"/>
          </a:endParaRPr>
        </a:p>
        <a:p>
          <a:r>
            <a:rPr kumimoji="1" lang="ja-JP" altLang="en-US" sz="1050">
              <a:solidFill>
                <a:sysClr val="windowText" lastClr="000000"/>
              </a:solidFill>
              <a:effectLst/>
              <a:latin typeface="+mn-lt"/>
              <a:ea typeface="+mn-ea"/>
              <a:cs typeface="+mn-cs"/>
            </a:rPr>
            <a:t>・先行処理が</a:t>
          </a:r>
          <a:r>
            <a:rPr kumimoji="1" lang="en-US" altLang="ja-JP" sz="1050" b="1">
              <a:solidFill>
                <a:srgbClr val="FF0000"/>
              </a:solidFill>
              <a:effectLst/>
              <a:latin typeface="+mn-lt"/>
              <a:ea typeface="+mn-ea"/>
              <a:cs typeface="+mn-cs"/>
            </a:rPr>
            <a:t>6</a:t>
          </a:r>
          <a:r>
            <a:rPr kumimoji="1" lang="ja-JP" altLang="en-US" sz="1050" b="1">
              <a:solidFill>
                <a:srgbClr val="FF0000"/>
              </a:solidFill>
              <a:effectLst/>
              <a:latin typeface="+mn-lt"/>
              <a:ea typeface="+mn-ea"/>
              <a:cs typeface="+mn-cs"/>
            </a:rPr>
            <a:t>秒後</a:t>
          </a:r>
          <a:r>
            <a:rPr kumimoji="1" lang="ja-JP" altLang="en-US" sz="1050">
              <a:solidFill>
                <a:sysClr val="windowText" lastClr="000000"/>
              </a:solidFill>
              <a:effectLst/>
              <a:latin typeface="+mn-lt"/>
              <a:ea typeface="+mn-ea"/>
              <a:cs typeface="+mn-cs"/>
            </a:rPr>
            <a:t>に完了するので、その後に実行される</a:t>
          </a:r>
          <a:endParaRPr lang="ja-JP" altLang="ja-JP" sz="1050">
            <a:solidFill>
              <a:sysClr val="windowText" lastClr="000000"/>
            </a:solidFill>
            <a:effectLst/>
          </a:endParaRPr>
        </a:p>
        <a:p>
          <a:pPr algn="l"/>
          <a:r>
            <a:rPr kumimoji="1" lang="ja-JP" altLang="en-US" sz="1050">
              <a:solidFill>
                <a:sysClr val="windowText" lastClr="000000"/>
              </a:solidFill>
            </a:rPr>
            <a:t>・最終的なレスポンスは最初の処理から</a:t>
          </a:r>
          <a:r>
            <a:rPr kumimoji="1" lang="en-US" altLang="ja-JP" sz="1050" b="1">
              <a:solidFill>
                <a:srgbClr val="FF0000"/>
              </a:solidFill>
            </a:rPr>
            <a:t>12</a:t>
          </a:r>
          <a:r>
            <a:rPr kumimoji="1" lang="ja-JP" altLang="en-US" sz="1050" b="1">
              <a:solidFill>
                <a:srgbClr val="FF0000"/>
              </a:solidFill>
            </a:rPr>
            <a:t>秒後</a:t>
          </a:r>
          <a:r>
            <a:rPr kumimoji="1" lang="ja-JP" altLang="en-US" sz="1050">
              <a:solidFill>
                <a:sysClr val="windowText" lastClr="000000"/>
              </a:solidFill>
            </a:rPr>
            <a:t>となるが、</a:t>
          </a:r>
          <a:r>
            <a:rPr kumimoji="1" lang="en-US" altLang="ja-JP" sz="1050" b="1">
              <a:solidFill>
                <a:srgbClr val="FF0000"/>
              </a:solidFill>
            </a:rPr>
            <a:t>ResponseTimeout</a:t>
          </a:r>
          <a:r>
            <a:rPr kumimoji="1" lang="ja-JP" altLang="en-US" sz="1050" b="1">
              <a:solidFill>
                <a:srgbClr val="FF0000"/>
              </a:solidFill>
            </a:rPr>
            <a:t>の</a:t>
          </a:r>
          <a:r>
            <a:rPr kumimoji="1" lang="en-US" altLang="ja-JP" sz="1050" b="1">
              <a:solidFill>
                <a:srgbClr val="FF0000"/>
              </a:solidFill>
            </a:rPr>
            <a:t>10</a:t>
          </a:r>
          <a:r>
            <a:rPr kumimoji="1" lang="ja-JP" altLang="en-US" sz="1050" b="1">
              <a:solidFill>
                <a:srgbClr val="FF0000"/>
              </a:solidFill>
            </a:rPr>
            <a:t>秒に引っかからない</a:t>
          </a:r>
          <a:r>
            <a:rPr kumimoji="1" lang="ja-JP" altLang="en-US" sz="1050">
              <a:solidFill>
                <a:sysClr val="windowText" lastClr="000000"/>
              </a:solidFill>
            </a:rPr>
            <a:t>こと。</a:t>
          </a:r>
        </a:p>
      </xdr:txBody>
    </xdr:sp>
    <xdr:clientData/>
  </xdr:twoCellAnchor>
  <xdr:twoCellAnchor>
    <xdr:from>
      <xdr:col>1</xdr:col>
      <xdr:colOff>151040</xdr:colOff>
      <xdr:row>21</xdr:row>
      <xdr:rowOff>54269</xdr:rowOff>
    </xdr:from>
    <xdr:to>
      <xdr:col>6</xdr:col>
      <xdr:colOff>118383</xdr:colOff>
      <xdr:row>29</xdr:row>
      <xdr:rowOff>178013</xdr:rowOff>
    </xdr:to>
    <xdr:sp macro="" textlink="">
      <xdr:nvSpPr>
        <xdr:cNvPr id="15" name="四角形: 角を丸くする 14">
          <a:extLst>
            <a:ext uri="{FF2B5EF4-FFF2-40B4-BE49-F238E27FC236}">
              <a16:creationId xmlns:a16="http://schemas.microsoft.com/office/drawing/2014/main" id="{9AC8649E-EB0E-4DA4-8261-27B1EA76D92A}"/>
            </a:ext>
          </a:extLst>
        </xdr:cNvPr>
        <xdr:cNvSpPr/>
      </xdr:nvSpPr>
      <xdr:spPr>
        <a:xfrm>
          <a:off x="852080" y="4805339"/>
          <a:ext cx="3472543" cy="1922064"/>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RestTemplate1</a:t>
          </a:r>
          <a:r>
            <a:rPr kumimoji="1" lang="en-US" altLang="ja-JP" sz="1000" b="1">
              <a:solidFill>
                <a:srgbClr val="FF0000"/>
              </a:solidFill>
            </a:rPr>
            <a:t>(</a:t>
          </a:r>
          <a:r>
            <a:rPr kumimoji="1" lang="ja-JP" altLang="en-US" sz="1000" b="1">
              <a:solidFill>
                <a:srgbClr val="FF0000"/>
              </a:solidFill>
            </a:rPr>
            <a:t>これをデフォルト値とする</a:t>
          </a:r>
          <a:r>
            <a:rPr kumimoji="1" lang="en-US" altLang="ja-JP" sz="1000" b="1">
              <a:solidFill>
                <a:srgbClr val="FF0000"/>
              </a:solidFill>
            </a:rPr>
            <a:t>)</a:t>
          </a:r>
          <a:endParaRPr kumimoji="1" lang="en-US" altLang="ja-JP" sz="1600" b="1">
            <a:solidFill>
              <a:srgbClr val="FF0000"/>
            </a:solidFill>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setMaxConnTotal = 2</a:t>
          </a:r>
          <a:endParaRPr lang="ja-JP" altLang="ja-JP">
            <a:solidFill>
              <a:sysClr val="windowText" lastClr="000000"/>
            </a:solidFill>
            <a:effectLst/>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 = 1</a:t>
          </a: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setSoTimeout = 3 </a:t>
          </a:r>
          <a:r>
            <a:rPr lang="ja-JP" altLang="en-US" sz="1100">
              <a:solidFill>
                <a:sysClr val="windowText" lastClr="000000"/>
              </a:solidFill>
              <a:effectLst/>
              <a:latin typeface="+mn-lt"/>
              <a:ea typeface="+mn-ea"/>
              <a:cs typeface="+mn-cs"/>
            </a:rPr>
            <a:t>分</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ConnectTimeout = 5</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ResponseTimeout = 10</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setConnectionTimeToLive = 1 </a:t>
          </a:r>
          <a:r>
            <a:rPr lang="ja-JP" altLang="en-US" sz="1100">
              <a:solidFill>
                <a:sysClr val="windowText" lastClr="000000"/>
              </a:solidFill>
              <a:effectLst/>
              <a:latin typeface="+mn-lt"/>
              <a:ea typeface="+mn-ea"/>
              <a:cs typeface="+mn-cs"/>
            </a:rPr>
            <a:t>分</a:t>
          </a:r>
          <a:endParaRPr lang="ja-JP" altLang="ja-JP">
            <a:solidFill>
              <a:sysClr val="windowText" lastClr="000000"/>
            </a:solidFill>
            <a:effectLst/>
          </a:endParaRPr>
        </a:p>
        <a:p>
          <a:pPr algn="l"/>
          <a:endParaRPr kumimoji="1" lang="ja-JP" altLang="en-US" sz="1100" b="1">
            <a:solidFill>
              <a:sysClr val="windowText" lastClr="000000"/>
            </a:solidFill>
          </a:endParaRPr>
        </a:p>
      </xdr:txBody>
    </xdr:sp>
    <xdr:clientData/>
  </xdr:twoCellAnchor>
  <xdr:twoCellAnchor>
    <xdr:from>
      <xdr:col>1</xdr:col>
      <xdr:colOff>28575</xdr:colOff>
      <xdr:row>19</xdr:row>
      <xdr:rowOff>114299</xdr:rowOff>
    </xdr:from>
    <xdr:to>
      <xdr:col>5</xdr:col>
      <xdr:colOff>676275</xdr:colOff>
      <xdr:row>28</xdr:row>
      <xdr:rowOff>2721</xdr:rowOff>
    </xdr:to>
    <xdr:sp macro="" textlink="">
      <xdr:nvSpPr>
        <xdr:cNvPr id="16" name="四角形: 角を丸くする 15">
          <a:extLst>
            <a:ext uri="{FF2B5EF4-FFF2-40B4-BE49-F238E27FC236}">
              <a16:creationId xmlns:a16="http://schemas.microsoft.com/office/drawing/2014/main" id="{ECD45D3F-F21C-49EC-A1A8-491ECEB0B9B4}"/>
            </a:ext>
          </a:extLst>
        </xdr:cNvPr>
        <xdr:cNvSpPr/>
      </xdr:nvSpPr>
      <xdr:spPr>
        <a:xfrm>
          <a:off x="729615" y="4415789"/>
          <a:ext cx="3451860" cy="1911532"/>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RestTemplate1</a:t>
          </a:r>
          <a:r>
            <a:rPr kumimoji="1" lang="en-US" altLang="ja-JP" sz="1000" b="1">
              <a:solidFill>
                <a:srgbClr val="FF0000"/>
              </a:solidFill>
            </a:rPr>
            <a:t>(</a:t>
          </a:r>
          <a:r>
            <a:rPr kumimoji="1" lang="ja-JP" altLang="en-US" sz="1000" b="1">
              <a:solidFill>
                <a:srgbClr val="FF0000"/>
              </a:solidFill>
            </a:rPr>
            <a:t>これをデフォルト値とする</a:t>
          </a:r>
          <a:r>
            <a:rPr kumimoji="1" lang="en-US" altLang="ja-JP" sz="1000" b="1">
              <a:solidFill>
                <a:srgbClr val="FF0000"/>
              </a:solidFill>
            </a:rPr>
            <a:t>)</a:t>
          </a:r>
          <a:endParaRPr kumimoji="1" lang="en-US" altLang="ja-JP" sz="1600" b="1">
            <a:solidFill>
              <a:srgbClr val="FF0000"/>
            </a:solidFill>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setMaxConnTotal = 2</a:t>
          </a:r>
          <a:endParaRPr lang="ja-JP" altLang="ja-JP">
            <a:solidFill>
              <a:sysClr val="windowText" lastClr="000000"/>
            </a:solidFill>
            <a:effectLst/>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 = 1</a:t>
          </a: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setSoTimeout = 3 </a:t>
          </a:r>
          <a:r>
            <a:rPr lang="ja-JP" altLang="en-US" sz="1100">
              <a:solidFill>
                <a:sysClr val="windowText" lastClr="000000"/>
              </a:solidFill>
              <a:effectLst/>
              <a:latin typeface="+mn-lt"/>
              <a:ea typeface="+mn-ea"/>
              <a:cs typeface="+mn-cs"/>
            </a:rPr>
            <a:t>分</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setConnectTimeout = 5</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setResponseTimeout = 10</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setConnectionTimeToLive = 1 </a:t>
          </a:r>
          <a:r>
            <a:rPr lang="ja-JP" altLang="en-US" sz="1100">
              <a:solidFill>
                <a:sysClr val="windowText" lastClr="000000"/>
              </a:solidFill>
              <a:effectLst/>
              <a:latin typeface="+mn-lt"/>
              <a:ea typeface="+mn-ea"/>
              <a:cs typeface="+mn-cs"/>
            </a:rPr>
            <a:t>分</a:t>
          </a:r>
          <a:endParaRPr lang="ja-JP" altLang="ja-JP">
            <a:solidFill>
              <a:sysClr val="windowText" lastClr="000000"/>
            </a:solidFill>
            <a:effectLst/>
          </a:endParaRPr>
        </a:p>
        <a:p>
          <a:pPr algn="l"/>
          <a:endParaRPr kumimoji="1" lang="ja-JP" altLang="en-US" sz="1100" b="1">
            <a:solidFill>
              <a:sysClr val="windowText" lastClr="000000"/>
            </a:solidFill>
          </a:endParaRPr>
        </a:p>
      </xdr:txBody>
    </xdr:sp>
    <xdr:clientData/>
  </xdr:twoCellAnchor>
  <xdr:twoCellAnchor>
    <xdr:from>
      <xdr:col>17</xdr:col>
      <xdr:colOff>644338</xdr:colOff>
      <xdr:row>24</xdr:row>
      <xdr:rowOff>28576</xdr:rowOff>
    </xdr:from>
    <xdr:to>
      <xdr:col>20</xdr:col>
      <xdr:colOff>56030</xdr:colOff>
      <xdr:row>27</xdr:row>
      <xdr:rowOff>0</xdr:rowOff>
    </xdr:to>
    <xdr:sp macro="" textlink="">
      <xdr:nvSpPr>
        <xdr:cNvPr id="17" name="吹き出し: 線 16">
          <a:extLst>
            <a:ext uri="{FF2B5EF4-FFF2-40B4-BE49-F238E27FC236}">
              <a16:creationId xmlns:a16="http://schemas.microsoft.com/office/drawing/2014/main" id="{E73BF2C1-3087-4F84-91A7-0E9D3474C7BD}"/>
            </a:ext>
          </a:extLst>
        </xdr:cNvPr>
        <xdr:cNvSpPr/>
      </xdr:nvSpPr>
      <xdr:spPr>
        <a:xfrm>
          <a:off x="12562018" y="5454016"/>
          <a:ext cx="1514812" cy="645794"/>
        </a:xfrm>
        <a:prstGeom prst="borderCallout1">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050">
              <a:solidFill>
                <a:sysClr val="windowText" lastClr="000000"/>
              </a:solidFill>
              <a:effectLst/>
              <a:latin typeface="+mn-lt"/>
              <a:ea typeface="+mn-ea"/>
              <a:cs typeface="+mn-cs"/>
            </a:rPr>
            <a:t>サーバ側で</a:t>
          </a:r>
          <a:r>
            <a:rPr kumimoji="1" lang="en-US" altLang="ja-JP" sz="1050" b="1">
              <a:solidFill>
                <a:srgbClr val="FF0000"/>
              </a:solidFill>
              <a:effectLst/>
              <a:latin typeface="+mn-lt"/>
              <a:ea typeface="+mn-ea"/>
              <a:cs typeface="+mn-cs"/>
            </a:rPr>
            <a:t>6</a:t>
          </a:r>
          <a:r>
            <a:rPr kumimoji="1" lang="ja-JP" altLang="en-US" sz="1050" b="1">
              <a:solidFill>
                <a:srgbClr val="FF0000"/>
              </a:solidFill>
              <a:effectLst/>
              <a:latin typeface="+mn-lt"/>
              <a:ea typeface="+mn-ea"/>
              <a:cs typeface="+mn-cs"/>
            </a:rPr>
            <a:t>秒</a:t>
          </a:r>
          <a:r>
            <a:rPr kumimoji="1" lang="ja-JP" altLang="en-US" sz="1050">
              <a:solidFill>
                <a:sysClr val="windowText" lastClr="000000"/>
              </a:solidFill>
              <a:effectLst/>
              <a:latin typeface="+mn-lt"/>
              <a:ea typeface="+mn-ea"/>
              <a:cs typeface="+mn-cs"/>
            </a:rPr>
            <a:t>待機するようにする</a:t>
          </a:r>
          <a:endParaRPr kumimoji="1" lang="ja-JP" altLang="en-US" sz="1050">
            <a:solidFill>
              <a:sysClr val="windowText" lastClr="000000"/>
            </a:solidFill>
          </a:endParaRPr>
        </a:p>
      </xdr:txBody>
    </xdr:sp>
    <xdr:clientData/>
  </xdr:twoCellAnchor>
  <xdr:twoCellAnchor>
    <xdr:from>
      <xdr:col>5</xdr:col>
      <xdr:colOff>676275</xdr:colOff>
      <xdr:row>23</xdr:row>
      <xdr:rowOff>176172</xdr:rowOff>
    </xdr:from>
    <xdr:to>
      <xdr:col>14</xdr:col>
      <xdr:colOff>257179</xdr:colOff>
      <xdr:row>27</xdr:row>
      <xdr:rowOff>148301</xdr:rowOff>
    </xdr:to>
    <xdr:cxnSp macro="">
      <xdr:nvCxnSpPr>
        <xdr:cNvPr id="18" name="直線矢印コネクタ 17">
          <a:extLst>
            <a:ext uri="{FF2B5EF4-FFF2-40B4-BE49-F238E27FC236}">
              <a16:creationId xmlns:a16="http://schemas.microsoft.com/office/drawing/2014/main" id="{3DCCDC63-D122-4A90-80BD-937834915F60}"/>
            </a:ext>
          </a:extLst>
        </xdr:cNvPr>
        <xdr:cNvCxnSpPr>
          <a:stCxn id="16" idx="3"/>
          <a:endCxn id="12" idx="1"/>
        </xdr:cNvCxnSpPr>
      </xdr:nvCxnSpPr>
      <xdr:spPr>
        <a:xfrm>
          <a:off x="4181475" y="5376822"/>
          <a:ext cx="5890264" cy="8712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414618</xdr:colOff>
      <xdr:row>22</xdr:row>
      <xdr:rowOff>1</xdr:rowOff>
    </xdr:from>
    <xdr:to>
      <xdr:col>7</xdr:col>
      <xdr:colOff>179295</xdr:colOff>
      <xdr:row>23</xdr:row>
      <xdr:rowOff>190500</xdr:rowOff>
    </xdr:to>
    <xdr:sp macro="" textlink="">
      <xdr:nvSpPr>
        <xdr:cNvPr id="19" name="フローチャート: 処理 18">
          <a:extLst>
            <a:ext uri="{FF2B5EF4-FFF2-40B4-BE49-F238E27FC236}">
              <a16:creationId xmlns:a16="http://schemas.microsoft.com/office/drawing/2014/main" id="{0DABB883-DBBA-4A67-A1C7-95DABC2F36FE}"/>
            </a:ext>
          </a:extLst>
        </xdr:cNvPr>
        <xdr:cNvSpPr/>
      </xdr:nvSpPr>
      <xdr:spPr>
        <a:xfrm>
          <a:off x="4620858" y="4975861"/>
          <a:ext cx="465717" cy="415289"/>
        </a:xfrm>
        <a:prstGeom prst="flowChart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a:t>①</a:t>
          </a:r>
        </a:p>
      </xdr:txBody>
    </xdr:sp>
    <xdr:clientData/>
  </xdr:twoCellAnchor>
  <xdr:twoCellAnchor>
    <xdr:from>
      <xdr:col>6</xdr:col>
      <xdr:colOff>414618</xdr:colOff>
      <xdr:row>25</xdr:row>
      <xdr:rowOff>112060</xdr:rowOff>
    </xdr:from>
    <xdr:to>
      <xdr:col>7</xdr:col>
      <xdr:colOff>179295</xdr:colOff>
      <xdr:row>27</xdr:row>
      <xdr:rowOff>67235</xdr:rowOff>
    </xdr:to>
    <xdr:sp macro="" textlink="">
      <xdr:nvSpPr>
        <xdr:cNvPr id="20" name="フローチャート: 処理 19">
          <a:extLst>
            <a:ext uri="{FF2B5EF4-FFF2-40B4-BE49-F238E27FC236}">
              <a16:creationId xmlns:a16="http://schemas.microsoft.com/office/drawing/2014/main" id="{F20F2535-AAFD-4BF2-989D-5BCC6B133F94}"/>
            </a:ext>
          </a:extLst>
        </xdr:cNvPr>
        <xdr:cNvSpPr/>
      </xdr:nvSpPr>
      <xdr:spPr>
        <a:xfrm>
          <a:off x="4620858" y="5762290"/>
          <a:ext cx="465717" cy="404755"/>
        </a:xfrm>
        <a:prstGeom prst="flowChart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a:t>②</a:t>
          </a:r>
        </a:p>
      </xdr:txBody>
    </xdr:sp>
    <xdr:clientData/>
  </xdr:twoCellAnchor>
  <xdr:twoCellAnchor>
    <xdr:from>
      <xdr:col>6</xdr:col>
      <xdr:colOff>414618</xdr:colOff>
      <xdr:row>8</xdr:row>
      <xdr:rowOff>156884</xdr:rowOff>
    </xdr:from>
    <xdr:to>
      <xdr:col>7</xdr:col>
      <xdr:colOff>179295</xdr:colOff>
      <xdr:row>10</xdr:row>
      <xdr:rowOff>112059</xdr:rowOff>
    </xdr:to>
    <xdr:sp macro="" textlink="">
      <xdr:nvSpPr>
        <xdr:cNvPr id="21" name="フローチャート: 処理 20">
          <a:extLst>
            <a:ext uri="{FF2B5EF4-FFF2-40B4-BE49-F238E27FC236}">
              <a16:creationId xmlns:a16="http://schemas.microsoft.com/office/drawing/2014/main" id="{74A954BA-757E-4C08-AB91-78C21ADF6DAA}"/>
            </a:ext>
          </a:extLst>
        </xdr:cNvPr>
        <xdr:cNvSpPr/>
      </xdr:nvSpPr>
      <xdr:spPr>
        <a:xfrm>
          <a:off x="4620858" y="1985684"/>
          <a:ext cx="465717" cy="404755"/>
        </a:xfrm>
        <a:prstGeom prst="flowChart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a:t>①</a:t>
          </a:r>
        </a:p>
      </xdr:txBody>
    </xdr:sp>
    <xdr:clientData/>
  </xdr:twoCellAnchor>
  <xdr:twoCellAnchor>
    <xdr:from>
      <xdr:col>1</xdr:col>
      <xdr:colOff>151040</xdr:colOff>
      <xdr:row>39</xdr:row>
      <xdr:rowOff>31857</xdr:rowOff>
    </xdr:from>
    <xdr:to>
      <xdr:col>6</xdr:col>
      <xdr:colOff>118383</xdr:colOff>
      <xdr:row>47</xdr:row>
      <xdr:rowOff>155601</xdr:rowOff>
    </xdr:to>
    <xdr:sp macro="" textlink="">
      <xdr:nvSpPr>
        <xdr:cNvPr id="22" name="四角形: 角を丸くする 21">
          <a:extLst>
            <a:ext uri="{FF2B5EF4-FFF2-40B4-BE49-F238E27FC236}">
              <a16:creationId xmlns:a16="http://schemas.microsoft.com/office/drawing/2014/main" id="{A1E0B672-3DD5-4B9E-BE12-DEC0ADDEF68B}"/>
            </a:ext>
          </a:extLst>
        </xdr:cNvPr>
        <xdr:cNvSpPr/>
      </xdr:nvSpPr>
      <xdr:spPr>
        <a:xfrm>
          <a:off x="852080" y="8829147"/>
          <a:ext cx="3472543" cy="1922064"/>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RestTemplate1</a:t>
          </a:r>
          <a:r>
            <a:rPr kumimoji="1" lang="en-US" altLang="ja-JP" sz="1000" b="1">
              <a:solidFill>
                <a:srgbClr val="FF0000"/>
              </a:solidFill>
            </a:rPr>
            <a:t>(</a:t>
          </a:r>
          <a:r>
            <a:rPr kumimoji="1" lang="ja-JP" altLang="en-US" sz="1000" b="1">
              <a:solidFill>
                <a:srgbClr val="FF0000"/>
              </a:solidFill>
            </a:rPr>
            <a:t>これをデフォルト値とする</a:t>
          </a:r>
          <a:r>
            <a:rPr kumimoji="1" lang="en-US" altLang="ja-JP" sz="1000" b="1">
              <a:solidFill>
                <a:srgbClr val="FF0000"/>
              </a:solidFill>
            </a:rPr>
            <a:t>)</a:t>
          </a:r>
          <a:endParaRPr kumimoji="1" lang="en-US" altLang="ja-JP" sz="1600" b="1">
            <a:solidFill>
              <a:srgbClr val="FF0000"/>
            </a:solidFill>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setMaxConnTotal = 2</a:t>
          </a:r>
          <a:endParaRPr lang="ja-JP" altLang="ja-JP">
            <a:solidFill>
              <a:sysClr val="windowText" lastClr="000000"/>
            </a:solidFill>
            <a:effectLst/>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 = 1</a:t>
          </a: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setSoTimeout = 3 </a:t>
          </a:r>
          <a:r>
            <a:rPr lang="ja-JP" altLang="en-US" sz="1100">
              <a:solidFill>
                <a:sysClr val="windowText" lastClr="000000"/>
              </a:solidFill>
              <a:effectLst/>
              <a:latin typeface="+mn-lt"/>
              <a:ea typeface="+mn-ea"/>
              <a:cs typeface="+mn-cs"/>
            </a:rPr>
            <a:t>分</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ConnectTimeout = 5</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ResponseTimeout = 10</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setConnectionTimeToLive = 1 </a:t>
          </a:r>
          <a:r>
            <a:rPr lang="ja-JP" altLang="en-US" sz="1100">
              <a:solidFill>
                <a:sysClr val="windowText" lastClr="000000"/>
              </a:solidFill>
              <a:effectLst/>
              <a:latin typeface="+mn-lt"/>
              <a:ea typeface="+mn-ea"/>
              <a:cs typeface="+mn-cs"/>
            </a:rPr>
            <a:t>分</a:t>
          </a:r>
          <a:endParaRPr lang="ja-JP" altLang="ja-JP">
            <a:solidFill>
              <a:sysClr val="windowText" lastClr="000000"/>
            </a:solidFill>
            <a:effectLst/>
          </a:endParaRPr>
        </a:p>
        <a:p>
          <a:pPr algn="l"/>
          <a:endParaRPr kumimoji="1" lang="ja-JP" altLang="en-US" sz="1100" b="1">
            <a:solidFill>
              <a:sysClr val="windowText" lastClr="000000"/>
            </a:solidFill>
          </a:endParaRPr>
        </a:p>
      </xdr:txBody>
    </xdr:sp>
    <xdr:clientData/>
  </xdr:twoCellAnchor>
  <xdr:twoCellAnchor>
    <xdr:from>
      <xdr:col>1</xdr:col>
      <xdr:colOff>28575</xdr:colOff>
      <xdr:row>37</xdr:row>
      <xdr:rowOff>91887</xdr:rowOff>
    </xdr:from>
    <xdr:to>
      <xdr:col>5</xdr:col>
      <xdr:colOff>676275</xdr:colOff>
      <xdr:row>45</xdr:row>
      <xdr:rowOff>215633</xdr:rowOff>
    </xdr:to>
    <xdr:sp macro="" textlink="">
      <xdr:nvSpPr>
        <xdr:cNvPr id="23" name="四角形: 角を丸くする 22">
          <a:extLst>
            <a:ext uri="{FF2B5EF4-FFF2-40B4-BE49-F238E27FC236}">
              <a16:creationId xmlns:a16="http://schemas.microsoft.com/office/drawing/2014/main" id="{1A1F4DDA-D987-45CE-9A19-033D3F96E027}"/>
            </a:ext>
          </a:extLst>
        </xdr:cNvPr>
        <xdr:cNvSpPr/>
      </xdr:nvSpPr>
      <xdr:spPr>
        <a:xfrm>
          <a:off x="729615" y="8439597"/>
          <a:ext cx="3451860" cy="1922066"/>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RestTemplate1</a:t>
          </a:r>
          <a:r>
            <a:rPr kumimoji="1" lang="en-US" altLang="ja-JP" sz="1000" b="1">
              <a:solidFill>
                <a:srgbClr val="FF0000"/>
              </a:solidFill>
            </a:rPr>
            <a:t>(</a:t>
          </a:r>
          <a:r>
            <a:rPr kumimoji="1" lang="ja-JP" altLang="en-US" sz="1000" b="1">
              <a:solidFill>
                <a:srgbClr val="FF0000"/>
              </a:solidFill>
            </a:rPr>
            <a:t>これをデフォルト値とする</a:t>
          </a:r>
          <a:r>
            <a:rPr kumimoji="1" lang="en-US" altLang="ja-JP" sz="1000" b="1">
              <a:solidFill>
                <a:srgbClr val="FF0000"/>
              </a:solidFill>
            </a:rPr>
            <a:t>)</a:t>
          </a:r>
          <a:endParaRPr kumimoji="1" lang="en-US" altLang="ja-JP" sz="1600" b="1">
            <a:solidFill>
              <a:srgbClr val="FF0000"/>
            </a:solidFill>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setMaxConnTotal = 2</a:t>
          </a:r>
          <a:endParaRPr lang="ja-JP" altLang="ja-JP">
            <a:solidFill>
              <a:sysClr val="windowText" lastClr="000000"/>
            </a:solidFill>
            <a:effectLst/>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 = 1</a:t>
          </a: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setSoTimeout = 3 </a:t>
          </a:r>
          <a:r>
            <a:rPr lang="ja-JP" altLang="en-US" sz="1100">
              <a:solidFill>
                <a:sysClr val="windowText" lastClr="000000"/>
              </a:solidFill>
              <a:effectLst/>
              <a:latin typeface="+mn-lt"/>
              <a:ea typeface="+mn-ea"/>
              <a:cs typeface="+mn-cs"/>
            </a:rPr>
            <a:t>分</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setConnectTimeout = 5</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setResponseTimeout = 10</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setConnectionTimeToLive = 1 </a:t>
          </a:r>
          <a:r>
            <a:rPr lang="ja-JP" altLang="en-US" sz="1100">
              <a:solidFill>
                <a:sysClr val="windowText" lastClr="000000"/>
              </a:solidFill>
              <a:effectLst/>
              <a:latin typeface="+mn-lt"/>
              <a:ea typeface="+mn-ea"/>
              <a:cs typeface="+mn-cs"/>
            </a:rPr>
            <a:t>分</a:t>
          </a:r>
          <a:endParaRPr lang="ja-JP" altLang="ja-JP">
            <a:solidFill>
              <a:sysClr val="windowText" lastClr="000000"/>
            </a:solidFill>
            <a:effectLst/>
          </a:endParaRPr>
        </a:p>
        <a:p>
          <a:pPr algn="l"/>
          <a:endParaRPr kumimoji="1" lang="ja-JP" altLang="en-US" sz="1100" b="1">
            <a:solidFill>
              <a:sysClr val="windowText" lastClr="000000"/>
            </a:solidFill>
          </a:endParaRPr>
        </a:p>
      </xdr:txBody>
    </xdr:sp>
    <xdr:clientData/>
  </xdr:twoCellAnchor>
  <xdr:twoCellAnchor>
    <xdr:from>
      <xdr:col>13</xdr:col>
      <xdr:colOff>0</xdr:colOff>
      <xdr:row>37</xdr:row>
      <xdr:rowOff>13446</xdr:rowOff>
    </xdr:from>
    <xdr:to>
      <xdr:col>18</xdr:col>
      <xdr:colOff>419662</xdr:colOff>
      <xdr:row>43</xdr:row>
      <xdr:rowOff>156882</xdr:rowOff>
    </xdr:to>
    <xdr:sp macro="" textlink="">
      <xdr:nvSpPr>
        <xdr:cNvPr id="24" name="四角形: 角を丸くする 23">
          <a:extLst>
            <a:ext uri="{FF2B5EF4-FFF2-40B4-BE49-F238E27FC236}">
              <a16:creationId xmlns:a16="http://schemas.microsoft.com/office/drawing/2014/main" id="{5BCA246E-455C-4E69-8B03-38805CEA52AD}"/>
            </a:ext>
          </a:extLst>
        </xdr:cNvPr>
        <xdr:cNvSpPr/>
      </xdr:nvSpPr>
      <xdr:spPr>
        <a:xfrm>
          <a:off x="9113520" y="8361156"/>
          <a:ext cx="3924862" cy="1492176"/>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HTTPS server1</a:t>
          </a:r>
          <a:endParaRPr kumimoji="1" lang="ja-JP" altLang="en-US" sz="1100" b="1">
            <a:solidFill>
              <a:sysClr val="windowText" lastClr="000000"/>
            </a:solidFill>
          </a:endParaRPr>
        </a:p>
      </xdr:txBody>
    </xdr:sp>
    <xdr:clientData/>
  </xdr:twoCellAnchor>
  <xdr:twoCellAnchor>
    <xdr:from>
      <xdr:col>14</xdr:col>
      <xdr:colOff>247654</xdr:colOff>
      <xdr:row>40</xdr:row>
      <xdr:rowOff>22411</xdr:rowOff>
    </xdr:from>
    <xdr:to>
      <xdr:col>17</xdr:col>
      <xdr:colOff>77324</xdr:colOff>
      <xdr:row>42</xdr:row>
      <xdr:rowOff>92449</xdr:rowOff>
    </xdr:to>
    <xdr:sp macro="" textlink="">
      <xdr:nvSpPr>
        <xdr:cNvPr id="25" name="四角形: 角を丸くする 24">
          <a:extLst>
            <a:ext uri="{FF2B5EF4-FFF2-40B4-BE49-F238E27FC236}">
              <a16:creationId xmlns:a16="http://schemas.microsoft.com/office/drawing/2014/main" id="{E52B29C1-1A9C-4578-B557-CDF1E49418DB}"/>
            </a:ext>
          </a:extLst>
        </xdr:cNvPr>
        <xdr:cNvSpPr/>
      </xdr:nvSpPr>
      <xdr:spPr>
        <a:xfrm>
          <a:off x="10062214" y="9044491"/>
          <a:ext cx="1932790" cy="519618"/>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800" b="1">
              <a:solidFill>
                <a:srgbClr val="FF0000"/>
              </a:solidFill>
              <a:effectLst/>
              <a:latin typeface="+mn-lt"/>
              <a:ea typeface="+mn-ea"/>
              <a:cs typeface="+mn-cs"/>
            </a:rPr>
            <a:t>/api/v1/rscl2</a:t>
          </a:r>
        </a:p>
      </xdr:txBody>
    </xdr:sp>
    <xdr:clientData/>
  </xdr:twoCellAnchor>
  <xdr:twoCellAnchor>
    <xdr:from>
      <xdr:col>13</xdr:col>
      <xdr:colOff>0</xdr:colOff>
      <xdr:row>45</xdr:row>
      <xdr:rowOff>114299</xdr:rowOff>
    </xdr:from>
    <xdr:to>
      <xdr:col>18</xdr:col>
      <xdr:colOff>419662</xdr:colOff>
      <xdr:row>52</xdr:row>
      <xdr:rowOff>22411</xdr:rowOff>
    </xdr:to>
    <xdr:sp macro="" textlink="">
      <xdr:nvSpPr>
        <xdr:cNvPr id="26" name="四角形: 角を丸くする 25">
          <a:extLst>
            <a:ext uri="{FF2B5EF4-FFF2-40B4-BE49-F238E27FC236}">
              <a16:creationId xmlns:a16="http://schemas.microsoft.com/office/drawing/2014/main" id="{AF758336-70B5-4407-94CF-A450D5DD374D}"/>
            </a:ext>
          </a:extLst>
        </xdr:cNvPr>
        <xdr:cNvSpPr/>
      </xdr:nvSpPr>
      <xdr:spPr>
        <a:xfrm>
          <a:off x="9113520" y="10260329"/>
          <a:ext cx="3924862" cy="1481642"/>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HTTPS server2</a:t>
          </a:r>
          <a:endParaRPr kumimoji="1" lang="ja-JP" altLang="en-US" sz="1100" b="1">
            <a:solidFill>
              <a:sysClr val="windowText" lastClr="000000"/>
            </a:solidFill>
          </a:endParaRPr>
        </a:p>
      </xdr:txBody>
    </xdr:sp>
    <xdr:clientData/>
  </xdr:twoCellAnchor>
  <xdr:twoCellAnchor>
    <xdr:from>
      <xdr:col>14</xdr:col>
      <xdr:colOff>247654</xdr:colOff>
      <xdr:row>48</xdr:row>
      <xdr:rowOff>123264</xdr:rowOff>
    </xdr:from>
    <xdr:to>
      <xdr:col>17</xdr:col>
      <xdr:colOff>77324</xdr:colOff>
      <xdr:row>50</xdr:row>
      <xdr:rowOff>193302</xdr:rowOff>
    </xdr:to>
    <xdr:sp macro="" textlink="">
      <xdr:nvSpPr>
        <xdr:cNvPr id="27" name="四角形: 角を丸くする 26">
          <a:extLst>
            <a:ext uri="{FF2B5EF4-FFF2-40B4-BE49-F238E27FC236}">
              <a16:creationId xmlns:a16="http://schemas.microsoft.com/office/drawing/2014/main" id="{948E750A-EBCB-4D9F-9F8F-905B6893B52B}"/>
            </a:ext>
          </a:extLst>
        </xdr:cNvPr>
        <xdr:cNvSpPr/>
      </xdr:nvSpPr>
      <xdr:spPr>
        <a:xfrm>
          <a:off x="10062214" y="10943664"/>
          <a:ext cx="1932790" cy="519618"/>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800" b="1">
              <a:solidFill>
                <a:srgbClr val="00B050"/>
              </a:solidFill>
              <a:effectLst/>
              <a:latin typeface="+mn-lt"/>
              <a:ea typeface="+mn-ea"/>
              <a:cs typeface="+mn-cs"/>
            </a:rPr>
            <a:t>/api/v1/rscl1</a:t>
          </a:r>
        </a:p>
      </xdr:txBody>
    </xdr:sp>
    <xdr:clientData/>
  </xdr:twoCellAnchor>
  <xdr:twoCellAnchor>
    <xdr:from>
      <xdr:col>6</xdr:col>
      <xdr:colOff>118383</xdr:colOff>
      <xdr:row>43</xdr:row>
      <xdr:rowOff>93729</xdr:rowOff>
    </xdr:from>
    <xdr:to>
      <xdr:col>14</xdr:col>
      <xdr:colOff>247654</xdr:colOff>
      <xdr:row>49</xdr:row>
      <xdr:rowOff>158283</xdr:rowOff>
    </xdr:to>
    <xdr:cxnSp macro="">
      <xdr:nvCxnSpPr>
        <xdr:cNvPr id="28" name="直線矢印コネクタ 27">
          <a:extLst>
            <a:ext uri="{FF2B5EF4-FFF2-40B4-BE49-F238E27FC236}">
              <a16:creationId xmlns:a16="http://schemas.microsoft.com/office/drawing/2014/main" id="{52396383-3CB2-4776-98EE-F7710FC5AEE7}"/>
            </a:ext>
          </a:extLst>
        </xdr:cNvPr>
        <xdr:cNvCxnSpPr>
          <a:stCxn id="22" idx="3"/>
          <a:endCxn id="27" idx="1"/>
        </xdr:cNvCxnSpPr>
      </xdr:nvCxnSpPr>
      <xdr:spPr>
        <a:xfrm>
          <a:off x="4324623" y="9790179"/>
          <a:ext cx="5737591" cy="14132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676275</xdr:colOff>
      <xdr:row>41</xdr:row>
      <xdr:rowOff>57430</xdr:rowOff>
    </xdr:from>
    <xdr:to>
      <xdr:col>14</xdr:col>
      <xdr:colOff>247654</xdr:colOff>
      <xdr:row>41</xdr:row>
      <xdr:rowOff>153760</xdr:rowOff>
    </xdr:to>
    <xdr:cxnSp macro="">
      <xdr:nvCxnSpPr>
        <xdr:cNvPr id="29" name="直線矢印コネクタ 28">
          <a:extLst>
            <a:ext uri="{FF2B5EF4-FFF2-40B4-BE49-F238E27FC236}">
              <a16:creationId xmlns:a16="http://schemas.microsoft.com/office/drawing/2014/main" id="{BC0B9BE0-BAEA-4627-9607-6CF29F068E7E}"/>
            </a:ext>
          </a:extLst>
        </xdr:cNvPr>
        <xdr:cNvCxnSpPr>
          <a:stCxn id="23" idx="3"/>
          <a:endCxn id="25" idx="1"/>
        </xdr:cNvCxnSpPr>
      </xdr:nvCxnSpPr>
      <xdr:spPr>
        <a:xfrm flipV="1">
          <a:off x="4181475" y="9304300"/>
          <a:ext cx="5880739" cy="96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54</xdr:row>
      <xdr:rowOff>13446</xdr:rowOff>
    </xdr:from>
    <xdr:to>
      <xdr:col>18</xdr:col>
      <xdr:colOff>419662</xdr:colOff>
      <xdr:row>60</xdr:row>
      <xdr:rowOff>156882</xdr:rowOff>
    </xdr:to>
    <xdr:sp macro="" textlink="">
      <xdr:nvSpPr>
        <xdr:cNvPr id="30" name="四角形: 角を丸くする 29">
          <a:extLst>
            <a:ext uri="{FF2B5EF4-FFF2-40B4-BE49-F238E27FC236}">
              <a16:creationId xmlns:a16="http://schemas.microsoft.com/office/drawing/2014/main" id="{3C2420E2-8D70-4846-8DE8-F817ABAAD819}"/>
            </a:ext>
          </a:extLst>
        </xdr:cNvPr>
        <xdr:cNvSpPr/>
      </xdr:nvSpPr>
      <xdr:spPr>
        <a:xfrm>
          <a:off x="9113520" y="12182586"/>
          <a:ext cx="3924862" cy="1492176"/>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HTTPS server3</a:t>
          </a:r>
          <a:endParaRPr kumimoji="1" lang="ja-JP" altLang="en-US" sz="1100" b="1">
            <a:solidFill>
              <a:sysClr val="windowText" lastClr="000000"/>
            </a:solidFill>
          </a:endParaRPr>
        </a:p>
      </xdr:txBody>
    </xdr:sp>
    <xdr:clientData/>
  </xdr:twoCellAnchor>
  <xdr:twoCellAnchor>
    <xdr:from>
      <xdr:col>14</xdr:col>
      <xdr:colOff>247654</xdr:colOff>
      <xdr:row>57</xdr:row>
      <xdr:rowOff>22411</xdr:rowOff>
    </xdr:from>
    <xdr:to>
      <xdr:col>17</xdr:col>
      <xdr:colOff>77324</xdr:colOff>
      <xdr:row>59</xdr:row>
      <xdr:rowOff>92449</xdr:rowOff>
    </xdr:to>
    <xdr:sp macro="" textlink="">
      <xdr:nvSpPr>
        <xdr:cNvPr id="31" name="四角形: 角を丸くする 30">
          <a:extLst>
            <a:ext uri="{FF2B5EF4-FFF2-40B4-BE49-F238E27FC236}">
              <a16:creationId xmlns:a16="http://schemas.microsoft.com/office/drawing/2014/main" id="{BB58FDB3-403B-4594-A3DE-84A830D3F286}"/>
            </a:ext>
          </a:extLst>
        </xdr:cNvPr>
        <xdr:cNvSpPr/>
      </xdr:nvSpPr>
      <xdr:spPr>
        <a:xfrm>
          <a:off x="10062214" y="12865921"/>
          <a:ext cx="1932790" cy="519618"/>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800" b="1">
              <a:solidFill>
                <a:srgbClr val="00B0F0"/>
              </a:solidFill>
              <a:effectLst/>
              <a:latin typeface="+mn-lt"/>
              <a:ea typeface="+mn-ea"/>
              <a:cs typeface="+mn-cs"/>
            </a:rPr>
            <a:t>/api/v1/rscl1</a:t>
          </a:r>
        </a:p>
      </xdr:txBody>
    </xdr:sp>
    <xdr:clientData/>
  </xdr:twoCellAnchor>
  <xdr:twoCellAnchor>
    <xdr:from>
      <xdr:col>6</xdr:col>
      <xdr:colOff>264059</xdr:colOff>
      <xdr:row>45</xdr:row>
      <xdr:rowOff>104934</xdr:rowOff>
    </xdr:from>
    <xdr:to>
      <xdr:col>14</xdr:col>
      <xdr:colOff>247654</xdr:colOff>
      <xdr:row>58</xdr:row>
      <xdr:rowOff>57430</xdr:rowOff>
    </xdr:to>
    <xdr:cxnSp macro="">
      <xdr:nvCxnSpPr>
        <xdr:cNvPr id="32" name="直線矢印コネクタ 31">
          <a:extLst>
            <a:ext uri="{FF2B5EF4-FFF2-40B4-BE49-F238E27FC236}">
              <a16:creationId xmlns:a16="http://schemas.microsoft.com/office/drawing/2014/main" id="{44E28A3F-5B85-4669-8DB5-FB0737E48D0C}"/>
            </a:ext>
          </a:extLst>
        </xdr:cNvPr>
        <xdr:cNvCxnSpPr>
          <a:stCxn id="2" idx="3"/>
          <a:endCxn id="31" idx="1"/>
        </xdr:cNvCxnSpPr>
      </xdr:nvCxnSpPr>
      <xdr:spPr>
        <a:xfrm>
          <a:off x="4470299" y="10250964"/>
          <a:ext cx="5591915" cy="28747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593912</xdr:colOff>
      <xdr:row>39</xdr:row>
      <xdr:rowOff>134471</xdr:rowOff>
    </xdr:from>
    <xdr:to>
      <xdr:col>7</xdr:col>
      <xdr:colOff>358589</xdr:colOff>
      <xdr:row>41</xdr:row>
      <xdr:rowOff>89646</xdr:rowOff>
    </xdr:to>
    <xdr:sp macro="" textlink="">
      <xdr:nvSpPr>
        <xdr:cNvPr id="33" name="フローチャート: 処理 32">
          <a:extLst>
            <a:ext uri="{FF2B5EF4-FFF2-40B4-BE49-F238E27FC236}">
              <a16:creationId xmlns:a16="http://schemas.microsoft.com/office/drawing/2014/main" id="{14B067A2-4C20-44AB-8ED8-06607448A214}"/>
            </a:ext>
          </a:extLst>
        </xdr:cNvPr>
        <xdr:cNvSpPr/>
      </xdr:nvSpPr>
      <xdr:spPr>
        <a:xfrm>
          <a:off x="4800152" y="8931761"/>
          <a:ext cx="465717" cy="404755"/>
        </a:xfrm>
        <a:prstGeom prst="flowChart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a:t>①</a:t>
          </a:r>
        </a:p>
      </xdr:txBody>
    </xdr:sp>
    <xdr:clientData/>
  </xdr:twoCellAnchor>
  <xdr:twoCellAnchor>
    <xdr:from>
      <xdr:col>7</xdr:col>
      <xdr:colOff>168088</xdr:colOff>
      <xdr:row>42</xdr:row>
      <xdr:rowOff>123265</xdr:rowOff>
    </xdr:from>
    <xdr:to>
      <xdr:col>7</xdr:col>
      <xdr:colOff>616324</xdr:colOff>
      <xdr:row>44</xdr:row>
      <xdr:rowOff>78440</xdr:rowOff>
    </xdr:to>
    <xdr:sp macro="" textlink="">
      <xdr:nvSpPr>
        <xdr:cNvPr id="34" name="フローチャート: 処理 33">
          <a:extLst>
            <a:ext uri="{FF2B5EF4-FFF2-40B4-BE49-F238E27FC236}">
              <a16:creationId xmlns:a16="http://schemas.microsoft.com/office/drawing/2014/main" id="{BCDAC55C-DB96-42E2-8CF4-416E0D864F7E}"/>
            </a:ext>
          </a:extLst>
        </xdr:cNvPr>
        <xdr:cNvSpPr/>
      </xdr:nvSpPr>
      <xdr:spPr>
        <a:xfrm>
          <a:off x="5075368" y="9594925"/>
          <a:ext cx="448236" cy="404755"/>
        </a:xfrm>
        <a:prstGeom prst="flowChart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a:t>②</a:t>
          </a:r>
        </a:p>
      </xdr:txBody>
    </xdr:sp>
    <xdr:clientData/>
  </xdr:twoCellAnchor>
  <xdr:twoCellAnchor>
    <xdr:from>
      <xdr:col>7</xdr:col>
      <xdr:colOff>257735</xdr:colOff>
      <xdr:row>45</xdr:row>
      <xdr:rowOff>190500</xdr:rowOff>
    </xdr:from>
    <xdr:to>
      <xdr:col>8</xdr:col>
      <xdr:colOff>22412</xdr:colOff>
      <xdr:row>47</xdr:row>
      <xdr:rowOff>145675</xdr:rowOff>
    </xdr:to>
    <xdr:sp macro="" textlink="">
      <xdr:nvSpPr>
        <xdr:cNvPr id="35" name="フローチャート: 処理 34">
          <a:extLst>
            <a:ext uri="{FF2B5EF4-FFF2-40B4-BE49-F238E27FC236}">
              <a16:creationId xmlns:a16="http://schemas.microsoft.com/office/drawing/2014/main" id="{E853EB3B-25AF-4FDB-8B1E-4A3DC574AE10}"/>
            </a:ext>
          </a:extLst>
        </xdr:cNvPr>
        <xdr:cNvSpPr/>
      </xdr:nvSpPr>
      <xdr:spPr>
        <a:xfrm>
          <a:off x="5165015" y="10336530"/>
          <a:ext cx="465717" cy="404755"/>
        </a:xfrm>
        <a:prstGeom prst="flowChart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a:t>③</a:t>
          </a:r>
        </a:p>
      </xdr:txBody>
    </xdr:sp>
    <xdr:clientData/>
  </xdr:twoCellAnchor>
  <xdr:twoCellAnchor>
    <xdr:from>
      <xdr:col>2</xdr:col>
      <xdr:colOff>260135</xdr:colOff>
      <xdr:row>52</xdr:row>
      <xdr:rowOff>72601</xdr:rowOff>
    </xdr:from>
    <xdr:to>
      <xdr:col>9</xdr:col>
      <xdr:colOff>369794</xdr:colOff>
      <xdr:row>62</xdr:row>
      <xdr:rowOff>57151</xdr:rowOff>
    </xdr:to>
    <xdr:sp macro="" textlink="">
      <xdr:nvSpPr>
        <xdr:cNvPr id="36" name="吹き出し: 線 35">
          <a:extLst>
            <a:ext uri="{FF2B5EF4-FFF2-40B4-BE49-F238E27FC236}">
              <a16:creationId xmlns:a16="http://schemas.microsoft.com/office/drawing/2014/main" id="{692EA6C4-F5B8-4101-BB54-F73C7AA7E005}"/>
            </a:ext>
          </a:extLst>
        </xdr:cNvPr>
        <xdr:cNvSpPr/>
      </xdr:nvSpPr>
      <xdr:spPr>
        <a:xfrm>
          <a:off x="1631735" y="8988001"/>
          <a:ext cx="4910259" cy="1699050"/>
        </a:xfrm>
        <a:prstGeom prst="borderCallout1">
          <a:avLst>
            <a:gd name="adj1" fmla="val 54671"/>
            <a:gd name="adj2" fmla="val 101561"/>
            <a:gd name="adj3" fmla="val 7094"/>
            <a:gd name="adj4" fmla="val 113356"/>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050">
              <a:solidFill>
                <a:sysClr val="windowText" lastClr="000000"/>
              </a:solidFill>
              <a:effectLst/>
              <a:latin typeface="+mn-lt"/>
              <a:ea typeface="+mn-ea"/>
              <a:cs typeface="+mn-cs"/>
            </a:rPr>
            <a:t>RSCL1403</a:t>
          </a:r>
          <a:r>
            <a:rPr kumimoji="1" lang="ja-JP" altLang="en-US" sz="105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a:t>
          </a:r>
          <a:r>
            <a:rPr lang="ja-JP" altLang="en-US" sz="1100" baseline="0">
              <a:solidFill>
                <a:sysClr val="windowText" lastClr="000000"/>
              </a:solidFill>
              <a:effectLst/>
              <a:latin typeface="+mn-lt"/>
              <a:ea typeface="+mn-ea"/>
              <a:cs typeface="+mn-cs"/>
            </a:rPr>
            <a:t> および</a:t>
          </a:r>
          <a:r>
            <a:rPr lang="en-US" altLang="ja-JP" sz="1100" baseline="0">
              <a:solidFill>
                <a:sysClr val="windowText" lastClr="000000"/>
              </a:solidFill>
              <a:effectLst/>
              <a:latin typeface="+mn-lt"/>
              <a:ea typeface="+mn-ea"/>
              <a:cs typeface="+mn-cs"/>
            </a:rPr>
            <a:t>setMaxConnTotal</a:t>
          </a:r>
          <a:r>
            <a:rPr lang="ja-JP" altLang="en-US" sz="1100" baseline="0">
              <a:solidFill>
                <a:sysClr val="windowText" lastClr="000000"/>
              </a:solidFill>
              <a:effectLst/>
              <a:latin typeface="+mn-lt"/>
              <a:ea typeface="+mn-ea"/>
              <a:cs typeface="+mn-cs"/>
            </a:rPr>
            <a:t>の確認</a:t>
          </a:r>
          <a:endParaRPr lang="en-US" altLang="ja-JP" sz="1100" baseline="0">
            <a:solidFill>
              <a:sysClr val="windowText" lastClr="000000"/>
            </a:solidFill>
            <a:effectLst/>
            <a:latin typeface="+mn-lt"/>
            <a:ea typeface="+mn-ea"/>
            <a:cs typeface="+mn-cs"/>
          </a:endParaRPr>
        </a:p>
        <a:p>
          <a:r>
            <a:rPr lang="ja-JP" altLang="en-US" sz="1100" baseline="0">
              <a:solidFill>
                <a:sysClr val="windowText" lastClr="000000"/>
              </a:solidFill>
              <a:effectLst/>
              <a:latin typeface="+mn-lt"/>
              <a:ea typeface="+mn-ea"/>
              <a:cs typeface="+mn-cs"/>
            </a:rPr>
            <a:t>・宛先に対するコネクション数の確認</a:t>
          </a:r>
          <a:endParaRPr lang="en-US" altLang="ja-JP" sz="1100" baseline="0">
            <a:solidFill>
              <a:sysClr val="windowText" lastClr="000000"/>
            </a:solidFill>
            <a:effectLst/>
            <a:latin typeface="+mn-lt"/>
            <a:ea typeface="+mn-ea"/>
            <a:cs typeface="+mn-cs"/>
          </a:endParaRPr>
        </a:p>
        <a:p>
          <a:r>
            <a:rPr lang="ja-JP" altLang="en-US" sz="1100" baseline="0">
              <a:solidFill>
                <a:sysClr val="windowText" lastClr="000000"/>
              </a:solidFill>
              <a:effectLst/>
              <a:latin typeface="+mn-lt"/>
              <a:ea typeface="+mn-ea"/>
              <a:cs typeface="+mn-cs"/>
            </a:rPr>
            <a:t>・合計コネクション数の確認</a:t>
          </a:r>
          <a:endParaRPr lang="en-US" altLang="ja-JP" sz="1100" baseline="0">
            <a:solidFill>
              <a:sysClr val="windowText" lastClr="000000"/>
            </a:solidFill>
            <a:effectLst/>
            <a:latin typeface="+mn-lt"/>
            <a:ea typeface="+mn-ea"/>
            <a:cs typeface="+mn-cs"/>
          </a:endParaRPr>
        </a:p>
        <a:p>
          <a:endParaRPr lang="ja-JP" altLang="ja-JP" sz="1050">
            <a:solidFill>
              <a:sysClr val="windowText" lastClr="000000"/>
            </a:solidFill>
            <a:effectLst/>
          </a:endParaRPr>
        </a:p>
        <a:p>
          <a:r>
            <a:rPr kumimoji="1" lang="ja-JP" altLang="ja-JP" sz="1050">
              <a:solidFill>
                <a:sysClr val="windowText" lastClr="000000"/>
              </a:solidFill>
              <a:effectLst/>
              <a:latin typeface="+mn-lt"/>
              <a:ea typeface="+mn-ea"/>
              <a:cs typeface="+mn-cs"/>
            </a:rPr>
            <a:t>・</a:t>
          </a:r>
          <a:r>
            <a:rPr kumimoji="1" lang="ja-JP" altLang="en-US" sz="1050">
              <a:solidFill>
                <a:sysClr val="windowText" lastClr="000000"/>
              </a:solidFill>
              <a:effectLst/>
              <a:latin typeface="+mn-lt"/>
              <a:ea typeface="+mn-ea"/>
              <a:cs typeface="+mn-cs"/>
            </a:rPr>
            <a:t>①と②は先に処理されること</a:t>
          </a:r>
          <a:endParaRPr kumimoji="1" lang="en-US" altLang="ja-JP" sz="1050">
            <a:solidFill>
              <a:sysClr val="windowText" lastClr="000000"/>
            </a:solidFill>
            <a:effectLst/>
            <a:latin typeface="+mn-lt"/>
            <a:ea typeface="+mn-ea"/>
            <a:cs typeface="+mn-cs"/>
          </a:endParaRPr>
        </a:p>
        <a:p>
          <a:r>
            <a:rPr kumimoji="1" lang="ja-JP" altLang="en-US" sz="1100">
              <a:solidFill>
                <a:sysClr val="windowText" lastClr="000000"/>
              </a:solidFill>
              <a:effectLst/>
              <a:latin typeface="+mn-lt"/>
              <a:ea typeface="+mn-ea"/>
              <a:cs typeface="+mn-cs"/>
            </a:rPr>
            <a:t>・③は待たされること</a:t>
          </a:r>
          <a:endParaRPr kumimoji="1" lang="en-US" altLang="ja-JP" sz="1100">
            <a:solidFill>
              <a:sysClr val="windowText" lastClr="000000"/>
            </a:solidFill>
            <a:effectLst/>
            <a:latin typeface="+mn-lt"/>
            <a:ea typeface="+mn-ea"/>
            <a:cs typeface="+mn-cs"/>
          </a:endParaRPr>
        </a:p>
        <a:p>
          <a:r>
            <a:rPr kumimoji="1" lang="ja-JP" altLang="en-US" sz="1100">
              <a:solidFill>
                <a:sysClr val="windowText" lastClr="000000"/>
              </a:solidFill>
              <a:effectLst/>
              <a:latin typeface="+mn-lt"/>
              <a:ea typeface="+mn-ea"/>
              <a:cs typeface="+mn-cs"/>
            </a:rPr>
            <a:t>・③は</a:t>
          </a:r>
          <a:r>
            <a:rPr kumimoji="1" lang="en-US" altLang="ja-JP" sz="1100">
              <a:solidFill>
                <a:sysClr val="windowText" lastClr="000000"/>
              </a:solidFill>
              <a:effectLst/>
              <a:latin typeface="+mn-lt"/>
              <a:ea typeface="+mn-ea"/>
              <a:cs typeface="+mn-cs"/>
            </a:rPr>
            <a:t>6</a:t>
          </a:r>
          <a:r>
            <a:rPr kumimoji="1" lang="ja-JP" altLang="en-US" sz="1100">
              <a:solidFill>
                <a:sysClr val="windowText" lastClr="000000"/>
              </a:solidFill>
              <a:effectLst/>
              <a:latin typeface="+mn-lt"/>
              <a:ea typeface="+mn-ea"/>
              <a:cs typeface="+mn-cs"/>
            </a:rPr>
            <a:t>秒後に（①と②の処理どちらかが終わったタイミングで）実施される</a:t>
          </a:r>
          <a:endParaRPr kumimoji="1" lang="en-US" altLang="ja-JP" sz="1050">
            <a:solidFill>
              <a:sysClr val="windowText" lastClr="000000"/>
            </a:solidFill>
            <a:effectLst/>
            <a:latin typeface="+mn-lt"/>
            <a:ea typeface="+mn-ea"/>
            <a:cs typeface="+mn-cs"/>
          </a:endParaRPr>
        </a:p>
        <a:p>
          <a:endParaRPr kumimoji="1" lang="ja-JP" altLang="en-US" sz="1050">
            <a:solidFill>
              <a:sysClr val="windowText" lastClr="000000"/>
            </a:solidFill>
          </a:endParaRPr>
        </a:p>
      </xdr:txBody>
    </xdr:sp>
    <xdr:clientData/>
  </xdr:twoCellAnchor>
  <xdr:twoCellAnchor>
    <xdr:from>
      <xdr:col>17</xdr:col>
      <xdr:colOff>621926</xdr:colOff>
      <xdr:row>37</xdr:row>
      <xdr:rowOff>230282</xdr:rowOff>
    </xdr:from>
    <xdr:to>
      <xdr:col>20</xdr:col>
      <xdr:colOff>33618</xdr:colOff>
      <xdr:row>40</xdr:row>
      <xdr:rowOff>201706</xdr:rowOff>
    </xdr:to>
    <xdr:sp macro="" textlink="">
      <xdr:nvSpPr>
        <xdr:cNvPr id="38" name="吹き出し: 線 37">
          <a:extLst>
            <a:ext uri="{FF2B5EF4-FFF2-40B4-BE49-F238E27FC236}">
              <a16:creationId xmlns:a16="http://schemas.microsoft.com/office/drawing/2014/main" id="{39BC4DDF-AA5C-4D2A-B393-3A126AF599A8}"/>
            </a:ext>
          </a:extLst>
        </xdr:cNvPr>
        <xdr:cNvSpPr/>
      </xdr:nvSpPr>
      <xdr:spPr>
        <a:xfrm>
          <a:off x="12539606" y="8574182"/>
          <a:ext cx="1514812" cy="649604"/>
        </a:xfrm>
        <a:prstGeom prst="borderCallout1">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050">
              <a:solidFill>
                <a:sysClr val="windowText" lastClr="000000"/>
              </a:solidFill>
              <a:effectLst/>
              <a:latin typeface="+mn-lt"/>
              <a:ea typeface="+mn-ea"/>
              <a:cs typeface="+mn-cs"/>
            </a:rPr>
            <a:t>サーバ側で</a:t>
          </a:r>
          <a:r>
            <a:rPr kumimoji="1" lang="en-US" altLang="ja-JP" sz="1050" b="1">
              <a:solidFill>
                <a:srgbClr val="FF0000"/>
              </a:solidFill>
              <a:effectLst/>
              <a:latin typeface="+mn-lt"/>
              <a:ea typeface="+mn-ea"/>
              <a:cs typeface="+mn-cs"/>
            </a:rPr>
            <a:t>6</a:t>
          </a:r>
          <a:r>
            <a:rPr kumimoji="1" lang="ja-JP" altLang="en-US" sz="1050" b="1">
              <a:solidFill>
                <a:srgbClr val="FF0000"/>
              </a:solidFill>
              <a:effectLst/>
              <a:latin typeface="+mn-lt"/>
              <a:ea typeface="+mn-ea"/>
              <a:cs typeface="+mn-cs"/>
            </a:rPr>
            <a:t>秒</a:t>
          </a:r>
          <a:r>
            <a:rPr kumimoji="1" lang="ja-JP" altLang="en-US" sz="1050">
              <a:solidFill>
                <a:sysClr val="windowText" lastClr="000000"/>
              </a:solidFill>
              <a:effectLst/>
              <a:latin typeface="+mn-lt"/>
              <a:ea typeface="+mn-ea"/>
              <a:cs typeface="+mn-cs"/>
            </a:rPr>
            <a:t>待機するようにする</a:t>
          </a:r>
          <a:endParaRPr kumimoji="1" lang="ja-JP" altLang="en-US" sz="1050">
            <a:solidFill>
              <a:sysClr val="windowText" lastClr="000000"/>
            </a:solidFill>
          </a:endParaRPr>
        </a:p>
      </xdr:txBody>
    </xdr:sp>
    <xdr:clientData/>
  </xdr:twoCellAnchor>
  <xdr:twoCellAnchor>
    <xdr:from>
      <xdr:col>17</xdr:col>
      <xdr:colOff>621926</xdr:colOff>
      <xdr:row>46</xdr:row>
      <xdr:rowOff>84606</xdr:rowOff>
    </xdr:from>
    <xdr:to>
      <xdr:col>20</xdr:col>
      <xdr:colOff>33618</xdr:colOff>
      <xdr:row>49</xdr:row>
      <xdr:rowOff>56029</xdr:rowOff>
    </xdr:to>
    <xdr:sp macro="" textlink="">
      <xdr:nvSpPr>
        <xdr:cNvPr id="39" name="吹き出し: 線 38">
          <a:extLst>
            <a:ext uri="{FF2B5EF4-FFF2-40B4-BE49-F238E27FC236}">
              <a16:creationId xmlns:a16="http://schemas.microsoft.com/office/drawing/2014/main" id="{7BACB23D-56C9-4A2B-BBE2-92117A77B091}"/>
            </a:ext>
          </a:extLst>
        </xdr:cNvPr>
        <xdr:cNvSpPr/>
      </xdr:nvSpPr>
      <xdr:spPr>
        <a:xfrm>
          <a:off x="12539606" y="10455426"/>
          <a:ext cx="1514812" cy="645793"/>
        </a:xfrm>
        <a:prstGeom prst="borderCallout1">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050">
              <a:solidFill>
                <a:sysClr val="windowText" lastClr="000000"/>
              </a:solidFill>
              <a:effectLst/>
              <a:latin typeface="+mn-lt"/>
              <a:ea typeface="+mn-ea"/>
              <a:cs typeface="+mn-cs"/>
            </a:rPr>
            <a:t>サーバ側で</a:t>
          </a:r>
          <a:r>
            <a:rPr kumimoji="1" lang="en-US" altLang="ja-JP" sz="1050" b="1">
              <a:solidFill>
                <a:srgbClr val="FF0000"/>
              </a:solidFill>
              <a:effectLst/>
              <a:latin typeface="+mn-lt"/>
              <a:ea typeface="+mn-ea"/>
              <a:cs typeface="+mn-cs"/>
            </a:rPr>
            <a:t>6</a:t>
          </a:r>
          <a:r>
            <a:rPr kumimoji="1" lang="ja-JP" altLang="en-US" sz="1050" b="1">
              <a:solidFill>
                <a:srgbClr val="FF0000"/>
              </a:solidFill>
              <a:effectLst/>
              <a:latin typeface="+mn-lt"/>
              <a:ea typeface="+mn-ea"/>
              <a:cs typeface="+mn-cs"/>
            </a:rPr>
            <a:t>秒</a:t>
          </a:r>
          <a:r>
            <a:rPr kumimoji="1" lang="ja-JP" altLang="en-US" sz="1050">
              <a:solidFill>
                <a:sysClr val="windowText" lastClr="000000"/>
              </a:solidFill>
              <a:effectLst/>
              <a:latin typeface="+mn-lt"/>
              <a:ea typeface="+mn-ea"/>
              <a:cs typeface="+mn-cs"/>
            </a:rPr>
            <a:t>待機するようにする</a:t>
          </a:r>
          <a:endParaRPr kumimoji="1" lang="ja-JP" altLang="en-US" sz="1050">
            <a:solidFill>
              <a:sysClr val="windowText" lastClr="000000"/>
            </a:solidFill>
          </a:endParaRPr>
        </a:p>
      </xdr:txBody>
    </xdr:sp>
    <xdr:clientData/>
  </xdr:twoCellAnchor>
  <xdr:twoCellAnchor>
    <xdr:from>
      <xdr:col>1</xdr:col>
      <xdr:colOff>28575</xdr:colOff>
      <xdr:row>63</xdr:row>
      <xdr:rowOff>203946</xdr:rowOff>
    </xdr:from>
    <xdr:to>
      <xdr:col>5</xdr:col>
      <xdr:colOff>676275</xdr:colOff>
      <xdr:row>72</xdr:row>
      <xdr:rowOff>92368</xdr:rowOff>
    </xdr:to>
    <xdr:sp macro="" textlink="">
      <xdr:nvSpPr>
        <xdr:cNvPr id="40" name="四角形: 角を丸くする 39">
          <a:extLst>
            <a:ext uri="{FF2B5EF4-FFF2-40B4-BE49-F238E27FC236}">
              <a16:creationId xmlns:a16="http://schemas.microsoft.com/office/drawing/2014/main" id="{8D042C57-3A62-4A6E-BAC8-96EB32CB04B4}"/>
            </a:ext>
          </a:extLst>
        </xdr:cNvPr>
        <xdr:cNvSpPr/>
      </xdr:nvSpPr>
      <xdr:spPr>
        <a:xfrm>
          <a:off x="729615" y="14396196"/>
          <a:ext cx="3451860" cy="1911532"/>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RestTemplate1</a:t>
          </a:r>
          <a:r>
            <a:rPr kumimoji="1" lang="en-US" altLang="ja-JP" sz="1000" b="1">
              <a:solidFill>
                <a:srgbClr val="FF0000"/>
              </a:solidFill>
            </a:rPr>
            <a:t>(</a:t>
          </a:r>
          <a:r>
            <a:rPr kumimoji="1" lang="ja-JP" altLang="en-US" sz="1000" b="1">
              <a:solidFill>
                <a:srgbClr val="FF0000"/>
              </a:solidFill>
            </a:rPr>
            <a:t>これをデフォルト値とする</a:t>
          </a:r>
          <a:r>
            <a:rPr kumimoji="1" lang="en-US" altLang="ja-JP" sz="1000" b="1">
              <a:solidFill>
                <a:srgbClr val="FF0000"/>
              </a:solidFill>
            </a:rPr>
            <a:t>)</a:t>
          </a:r>
          <a:endParaRPr kumimoji="1" lang="en-US" altLang="ja-JP" sz="1600" b="1">
            <a:solidFill>
              <a:srgbClr val="FF0000"/>
            </a:solidFill>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setMaxConnTotal = 2</a:t>
          </a:r>
          <a:endParaRPr lang="ja-JP" altLang="ja-JP">
            <a:solidFill>
              <a:sysClr val="windowText" lastClr="000000"/>
            </a:solidFill>
            <a:effectLst/>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 = 1</a:t>
          </a: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setSoTimeout = 3 </a:t>
          </a:r>
          <a:r>
            <a:rPr lang="ja-JP" altLang="en-US" sz="1100">
              <a:solidFill>
                <a:sysClr val="windowText" lastClr="000000"/>
              </a:solidFill>
              <a:effectLst/>
              <a:latin typeface="+mn-lt"/>
              <a:ea typeface="+mn-ea"/>
              <a:cs typeface="+mn-cs"/>
            </a:rPr>
            <a:t>分</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setConnectTimeout = 5</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setResponseTimeout = </a:t>
          </a:r>
          <a:r>
            <a:rPr lang="en-US" altLang="ja-JP" sz="1100" b="0">
              <a:solidFill>
                <a:sysClr val="windowText" lastClr="000000"/>
              </a:solidFill>
              <a:effectLst/>
              <a:latin typeface="+mn-lt"/>
              <a:ea typeface="+mn-ea"/>
              <a:cs typeface="+mn-cs"/>
            </a:rPr>
            <a:t>10</a:t>
          </a:r>
          <a:r>
            <a:rPr lang="ja-JP" altLang="en-US" sz="1100" b="0">
              <a:solidFill>
                <a:sysClr val="windowText" lastClr="000000"/>
              </a:solidFill>
              <a:effectLst/>
              <a:latin typeface="+mn-lt"/>
              <a:ea typeface="+mn-ea"/>
              <a:cs typeface="+mn-cs"/>
            </a:rPr>
            <a:t>秒</a:t>
          </a:r>
          <a:endParaRPr lang="en-US" altLang="ja-JP" sz="1100" b="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setConnectionTimeToLive = 1 </a:t>
          </a:r>
          <a:r>
            <a:rPr lang="ja-JP" altLang="en-US" sz="1100">
              <a:solidFill>
                <a:sysClr val="windowText" lastClr="000000"/>
              </a:solidFill>
              <a:effectLst/>
              <a:latin typeface="+mn-lt"/>
              <a:ea typeface="+mn-ea"/>
              <a:cs typeface="+mn-cs"/>
            </a:rPr>
            <a:t>分</a:t>
          </a:r>
          <a:endParaRPr lang="ja-JP" altLang="ja-JP">
            <a:solidFill>
              <a:sysClr val="windowText" lastClr="000000"/>
            </a:solidFill>
            <a:effectLst/>
          </a:endParaRPr>
        </a:p>
        <a:p>
          <a:pPr algn="l"/>
          <a:endParaRPr kumimoji="1" lang="ja-JP" altLang="en-US" sz="1100" b="1">
            <a:solidFill>
              <a:sysClr val="windowText" lastClr="000000"/>
            </a:solidFill>
          </a:endParaRPr>
        </a:p>
      </xdr:txBody>
    </xdr:sp>
    <xdr:clientData/>
  </xdr:twoCellAnchor>
  <xdr:twoCellAnchor>
    <xdr:from>
      <xdr:col>13</xdr:col>
      <xdr:colOff>0</xdr:colOff>
      <xdr:row>64</xdr:row>
      <xdr:rowOff>192741</xdr:rowOff>
    </xdr:from>
    <xdr:to>
      <xdr:col>18</xdr:col>
      <xdr:colOff>419662</xdr:colOff>
      <xdr:row>71</xdr:row>
      <xdr:rowOff>100853</xdr:rowOff>
    </xdr:to>
    <xdr:sp macro="" textlink="">
      <xdr:nvSpPr>
        <xdr:cNvPr id="41" name="四角形: 角を丸くする 40">
          <a:extLst>
            <a:ext uri="{FF2B5EF4-FFF2-40B4-BE49-F238E27FC236}">
              <a16:creationId xmlns:a16="http://schemas.microsoft.com/office/drawing/2014/main" id="{E9FD937E-A0FA-4005-A383-A1A4CBF60A57}"/>
            </a:ext>
          </a:extLst>
        </xdr:cNvPr>
        <xdr:cNvSpPr/>
      </xdr:nvSpPr>
      <xdr:spPr>
        <a:xfrm>
          <a:off x="9113520" y="14609781"/>
          <a:ext cx="3924862" cy="1481642"/>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HTTPS serverXX</a:t>
          </a:r>
        </a:p>
      </xdr:txBody>
    </xdr:sp>
    <xdr:clientData/>
  </xdr:twoCellAnchor>
  <xdr:twoCellAnchor>
    <xdr:from>
      <xdr:col>18</xdr:col>
      <xdr:colOff>106456</xdr:colOff>
      <xdr:row>62</xdr:row>
      <xdr:rowOff>219075</xdr:rowOff>
    </xdr:from>
    <xdr:to>
      <xdr:col>22</xdr:col>
      <xdr:colOff>134471</xdr:colOff>
      <xdr:row>66</xdr:row>
      <xdr:rowOff>212910</xdr:rowOff>
    </xdr:to>
    <xdr:sp macro="" textlink="">
      <xdr:nvSpPr>
        <xdr:cNvPr id="42" name="吹き出し: 線 41">
          <a:extLst>
            <a:ext uri="{FF2B5EF4-FFF2-40B4-BE49-F238E27FC236}">
              <a16:creationId xmlns:a16="http://schemas.microsoft.com/office/drawing/2014/main" id="{B0FCB90E-DBBD-4F08-BD80-8C2C37E2A384}"/>
            </a:ext>
          </a:extLst>
        </xdr:cNvPr>
        <xdr:cNvSpPr/>
      </xdr:nvSpPr>
      <xdr:spPr>
        <a:xfrm>
          <a:off x="12725176" y="14186535"/>
          <a:ext cx="2832175" cy="892995"/>
        </a:xfrm>
        <a:prstGeom prst="borderCallout1">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050">
              <a:solidFill>
                <a:sysClr val="windowText" lastClr="000000"/>
              </a:solidFill>
              <a:effectLst/>
              <a:latin typeface="+mn-lt"/>
              <a:ea typeface="+mn-ea"/>
              <a:cs typeface="+mn-cs"/>
            </a:rPr>
            <a:t>存在しないサーバへの接続</a:t>
          </a:r>
          <a:endParaRPr kumimoji="1" lang="en-US" altLang="ja-JP" sz="1050">
            <a:solidFill>
              <a:sysClr val="windowText" lastClr="000000"/>
            </a:solidFill>
            <a:effectLst/>
            <a:latin typeface="+mn-lt"/>
            <a:ea typeface="+mn-ea"/>
            <a:cs typeface="+mn-cs"/>
          </a:endParaRPr>
        </a:p>
      </xdr:txBody>
    </xdr:sp>
    <xdr:clientData/>
  </xdr:twoCellAnchor>
  <xdr:twoCellAnchor>
    <xdr:from>
      <xdr:col>5</xdr:col>
      <xdr:colOff>676275</xdr:colOff>
      <xdr:row>68</xdr:row>
      <xdr:rowOff>30495</xdr:rowOff>
    </xdr:from>
    <xdr:to>
      <xdr:col>14</xdr:col>
      <xdr:colOff>247654</xdr:colOff>
      <xdr:row>69</xdr:row>
      <xdr:rowOff>1401</xdr:rowOff>
    </xdr:to>
    <xdr:cxnSp macro="">
      <xdr:nvCxnSpPr>
        <xdr:cNvPr id="43" name="直線矢印コネクタ 42">
          <a:extLst>
            <a:ext uri="{FF2B5EF4-FFF2-40B4-BE49-F238E27FC236}">
              <a16:creationId xmlns:a16="http://schemas.microsoft.com/office/drawing/2014/main" id="{2D233820-8C40-4E18-9C2D-4408CB39BCFE}"/>
            </a:ext>
          </a:extLst>
        </xdr:cNvPr>
        <xdr:cNvCxnSpPr>
          <a:cxnSpLocks/>
          <a:stCxn id="40" idx="3"/>
        </xdr:cNvCxnSpPr>
      </xdr:nvCxnSpPr>
      <xdr:spPr>
        <a:xfrm>
          <a:off x="4181475" y="15346695"/>
          <a:ext cx="5880739" cy="19569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130373</xdr:colOff>
      <xdr:row>71</xdr:row>
      <xdr:rowOff>17016</xdr:rowOff>
    </xdr:from>
    <xdr:to>
      <xdr:col>11</xdr:col>
      <xdr:colOff>396912</xdr:colOff>
      <xdr:row>78</xdr:row>
      <xdr:rowOff>140970</xdr:rowOff>
    </xdr:to>
    <xdr:sp macro="" textlink="">
      <xdr:nvSpPr>
        <xdr:cNvPr id="44" name="吹き出し: 線 43">
          <a:extLst>
            <a:ext uri="{FF2B5EF4-FFF2-40B4-BE49-F238E27FC236}">
              <a16:creationId xmlns:a16="http://schemas.microsoft.com/office/drawing/2014/main" id="{D7EAA598-0C62-43D7-8D21-1E7D7E1A42AA}"/>
            </a:ext>
          </a:extLst>
        </xdr:cNvPr>
        <xdr:cNvSpPr/>
      </xdr:nvSpPr>
      <xdr:spPr>
        <a:xfrm>
          <a:off x="4610933" y="11648946"/>
          <a:ext cx="2826859" cy="1270764"/>
        </a:xfrm>
        <a:prstGeom prst="borderCallout1">
          <a:avLst>
            <a:gd name="adj1" fmla="val 18750"/>
            <a:gd name="adj2" fmla="val -8333"/>
            <a:gd name="adj3" fmla="val -21448"/>
            <a:gd name="adj4" fmla="val -19347"/>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050">
              <a:solidFill>
                <a:sysClr val="windowText" lastClr="000000"/>
              </a:solidFill>
              <a:effectLst/>
              <a:latin typeface="+mn-lt"/>
              <a:ea typeface="+mn-ea"/>
              <a:cs typeface="+mn-cs"/>
            </a:rPr>
            <a:t>RSCL1404</a:t>
          </a:r>
          <a:r>
            <a:rPr kumimoji="1" lang="ja-JP" altLang="ja-JP" sz="105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setConnectionTimeout</a:t>
          </a:r>
          <a:r>
            <a:rPr lang="ja-JP" altLang="en-US" sz="1100" baseline="0">
              <a:solidFill>
                <a:sysClr val="windowText" lastClr="000000"/>
              </a:solidFill>
              <a:effectLst/>
              <a:latin typeface="+mn-lt"/>
              <a:ea typeface="+mn-ea"/>
              <a:cs typeface="+mn-cs"/>
            </a:rPr>
            <a:t> の確認</a:t>
          </a:r>
          <a:endParaRPr lang="en-US" altLang="ja-JP" sz="1100" baseline="0">
            <a:solidFill>
              <a:sysClr val="windowText" lastClr="000000"/>
            </a:solidFill>
            <a:effectLst/>
            <a:latin typeface="+mn-lt"/>
            <a:ea typeface="+mn-ea"/>
            <a:cs typeface="+mn-cs"/>
          </a:endParaRPr>
        </a:p>
        <a:p>
          <a:r>
            <a:rPr lang="ja-JP" altLang="en-US" sz="1100" baseline="0">
              <a:solidFill>
                <a:sysClr val="windowText" lastClr="000000"/>
              </a:solidFill>
              <a:effectLst/>
              <a:latin typeface="+mn-lt"/>
              <a:ea typeface="+mn-ea"/>
              <a:cs typeface="+mn-cs"/>
            </a:rPr>
            <a:t>・コネクションの確立待ち</a:t>
          </a:r>
          <a:endParaRPr lang="en-US" altLang="ja-JP" sz="1100" baseline="0">
            <a:solidFill>
              <a:sysClr val="windowText" lastClr="000000"/>
            </a:solidFill>
            <a:effectLst/>
            <a:latin typeface="+mn-lt"/>
            <a:ea typeface="+mn-ea"/>
            <a:cs typeface="+mn-cs"/>
          </a:endParaRPr>
        </a:p>
        <a:p>
          <a:endParaRPr lang="ja-JP" altLang="ja-JP" sz="1050">
            <a:solidFill>
              <a:sysClr val="windowText" lastClr="000000"/>
            </a:solidFill>
            <a:effectLst/>
          </a:endParaRPr>
        </a:p>
        <a:p>
          <a:r>
            <a:rPr kumimoji="1" lang="ja-JP" altLang="ja-JP" sz="1050">
              <a:solidFill>
                <a:sysClr val="windowText" lastClr="000000"/>
              </a:solidFill>
              <a:effectLst/>
              <a:latin typeface="+mn-lt"/>
              <a:ea typeface="+mn-ea"/>
              <a:cs typeface="+mn-cs"/>
            </a:rPr>
            <a:t>・</a:t>
          </a:r>
          <a:r>
            <a:rPr kumimoji="1" lang="en-US" altLang="ja-JP" sz="1050" b="1">
              <a:solidFill>
                <a:srgbClr val="FF0000"/>
              </a:solidFill>
              <a:effectLst/>
              <a:latin typeface="+mn-lt"/>
              <a:ea typeface="+mn-ea"/>
              <a:cs typeface="+mn-cs"/>
            </a:rPr>
            <a:t>5</a:t>
          </a:r>
          <a:r>
            <a:rPr kumimoji="1" lang="ja-JP" altLang="en-US" sz="1050" b="1">
              <a:solidFill>
                <a:srgbClr val="FF0000"/>
              </a:solidFill>
              <a:effectLst/>
              <a:latin typeface="+mn-lt"/>
              <a:ea typeface="+mn-ea"/>
              <a:cs typeface="+mn-cs"/>
            </a:rPr>
            <a:t>秒後</a:t>
          </a:r>
          <a:r>
            <a:rPr kumimoji="1" lang="ja-JP" altLang="en-US" sz="1050">
              <a:solidFill>
                <a:sysClr val="windowText" lastClr="000000"/>
              </a:solidFill>
              <a:effectLst/>
              <a:latin typeface="+mn-lt"/>
              <a:ea typeface="+mn-ea"/>
              <a:cs typeface="+mn-cs"/>
            </a:rPr>
            <a:t>にエラーとなること</a:t>
          </a:r>
          <a:endParaRPr kumimoji="1" lang="en-US" altLang="ja-JP" sz="1050">
            <a:solidFill>
              <a:sysClr val="windowText" lastClr="000000"/>
            </a:solidFill>
            <a:effectLst/>
            <a:latin typeface="+mn-lt"/>
            <a:ea typeface="+mn-ea"/>
            <a:cs typeface="+mn-cs"/>
          </a:endParaRPr>
        </a:p>
        <a:p>
          <a:r>
            <a:rPr kumimoji="1" lang="ja-JP" altLang="en-US" sz="1050">
              <a:solidFill>
                <a:sysClr val="windowText" lastClr="000000"/>
              </a:solidFill>
              <a:effectLst/>
              <a:latin typeface="+mn-lt"/>
              <a:ea typeface="+mn-ea"/>
              <a:cs typeface="+mn-cs"/>
            </a:rPr>
            <a:t>・エラーログの確認（</a:t>
          </a:r>
          <a:r>
            <a:rPr kumimoji="1" lang="en-US" altLang="ja-JP" sz="1050" b="1">
              <a:solidFill>
                <a:srgbClr val="FF0000"/>
              </a:solidFill>
              <a:effectLst/>
              <a:latin typeface="+mn-lt"/>
              <a:ea typeface="+mn-ea"/>
              <a:cs typeface="+mn-cs"/>
            </a:rPr>
            <a:t>Exception</a:t>
          </a:r>
          <a:r>
            <a:rPr kumimoji="1" lang="ja-JP" altLang="en-US" sz="1050" b="1">
              <a:solidFill>
                <a:srgbClr val="FF0000"/>
              </a:solidFill>
              <a:effectLst/>
              <a:latin typeface="+mn-lt"/>
              <a:ea typeface="+mn-ea"/>
              <a:cs typeface="+mn-cs"/>
            </a:rPr>
            <a:t>を確認</a:t>
          </a:r>
          <a:r>
            <a:rPr kumimoji="1" lang="ja-JP" altLang="en-US" sz="1050">
              <a:solidFill>
                <a:sysClr val="windowText" lastClr="000000"/>
              </a:solidFill>
              <a:effectLst/>
              <a:latin typeface="+mn-lt"/>
              <a:ea typeface="+mn-ea"/>
              <a:cs typeface="+mn-cs"/>
            </a:rPr>
            <a:t>する）</a:t>
          </a:r>
          <a:endParaRPr kumimoji="1" lang="en-US" altLang="ja-JP" sz="1050">
            <a:solidFill>
              <a:sysClr val="windowText" lastClr="000000"/>
            </a:solidFill>
            <a:effectLst/>
            <a:latin typeface="+mn-lt"/>
            <a:ea typeface="+mn-ea"/>
            <a:cs typeface="+mn-cs"/>
          </a:endParaRPr>
        </a:p>
        <a:p>
          <a:r>
            <a:rPr kumimoji="1" lang="ja-JP" altLang="en-US" sz="1050">
              <a:solidFill>
                <a:sysClr val="windowText" lastClr="000000"/>
              </a:solidFill>
              <a:effectLst/>
              <a:latin typeface="+mn-lt"/>
              <a:ea typeface="+mn-ea"/>
              <a:cs typeface="+mn-cs"/>
            </a:rPr>
            <a:t>・エラー画面への遷移</a:t>
          </a:r>
          <a:endParaRPr kumimoji="1" lang="ja-JP" altLang="en-US" sz="1050">
            <a:solidFill>
              <a:sysClr val="windowText" lastClr="000000"/>
            </a:solidFill>
          </a:endParaRPr>
        </a:p>
      </xdr:txBody>
    </xdr:sp>
    <xdr:clientData/>
  </xdr:twoCellAnchor>
  <xdr:twoCellAnchor>
    <xdr:from>
      <xdr:col>1</xdr:col>
      <xdr:colOff>28575</xdr:colOff>
      <xdr:row>78</xdr:row>
      <xdr:rowOff>24652</xdr:rowOff>
    </xdr:from>
    <xdr:to>
      <xdr:col>5</xdr:col>
      <xdr:colOff>676275</xdr:colOff>
      <xdr:row>86</xdr:row>
      <xdr:rowOff>148397</xdr:rowOff>
    </xdr:to>
    <xdr:sp macro="" textlink="">
      <xdr:nvSpPr>
        <xdr:cNvPr id="45" name="四角形: 角を丸くする 44">
          <a:extLst>
            <a:ext uri="{FF2B5EF4-FFF2-40B4-BE49-F238E27FC236}">
              <a16:creationId xmlns:a16="http://schemas.microsoft.com/office/drawing/2014/main" id="{D45F638D-EFEC-4A24-A838-231658FA4B63}"/>
            </a:ext>
          </a:extLst>
        </xdr:cNvPr>
        <xdr:cNvSpPr/>
      </xdr:nvSpPr>
      <xdr:spPr>
        <a:xfrm>
          <a:off x="729615" y="17588752"/>
          <a:ext cx="3451860" cy="1922065"/>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RestTemplate1</a:t>
          </a:r>
          <a:r>
            <a:rPr kumimoji="1" lang="en-US" altLang="ja-JP" sz="1000" b="1">
              <a:solidFill>
                <a:srgbClr val="FF0000"/>
              </a:solidFill>
            </a:rPr>
            <a:t>(</a:t>
          </a:r>
          <a:r>
            <a:rPr kumimoji="1" lang="ja-JP" altLang="en-US" sz="1000" b="1">
              <a:solidFill>
                <a:srgbClr val="FF0000"/>
              </a:solidFill>
            </a:rPr>
            <a:t>これをデフォルト値とする</a:t>
          </a:r>
          <a:r>
            <a:rPr kumimoji="1" lang="en-US" altLang="ja-JP" sz="1000" b="1">
              <a:solidFill>
                <a:srgbClr val="FF0000"/>
              </a:solidFill>
            </a:rPr>
            <a:t>)</a:t>
          </a:r>
          <a:endParaRPr kumimoji="1" lang="en-US" altLang="ja-JP" sz="1600" b="1">
            <a:solidFill>
              <a:srgbClr val="FF0000"/>
            </a:solidFill>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setMaxConnTotal = 2</a:t>
          </a:r>
          <a:endParaRPr lang="ja-JP" altLang="ja-JP">
            <a:solidFill>
              <a:sysClr val="windowText" lastClr="000000"/>
            </a:solidFill>
            <a:effectLst/>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 = 1</a:t>
          </a: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setSoTimeout = 3 </a:t>
          </a:r>
          <a:r>
            <a:rPr lang="ja-JP" altLang="en-US" sz="1100">
              <a:solidFill>
                <a:sysClr val="windowText" lastClr="000000"/>
              </a:solidFill>
              <a:effectLst/>
              <a:latin typeface="+mn-lt"/>
              <a:ea typeface="+mn-ea"/>
              <a:cs typeface="+mn-cs"/>
            </a:rPr>
            <a:t>分</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setConnectTimeout = 5</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setResponseTimeout = </a:t>
          </a:r>
          <a:r>
            <a:rPr lang="en-US" altLang="ja-JP" sz="1100" b="0">
              <a:solidFill>
                <a:sysClr val="windowText" lastClr="000000"/>
              </a:solidFill>
              <a:effectLst/>
              <a:latin typeface="+mn-lt"/>
              <a:ea typeface="+mn-ea"/>
              <a:cs typeface="+mn-cs"/>
            </a:rPr>
            <a:t>10</a:t>
          </a:r>
          <a:r>
            <a:rPr lang="ja-JP" altLang="en-US" sz="1100" b="0">
              <a:solidFill>
                <a:sysClr val="windowText" lastClr="000000"/>
              </a:solidFill>
              <a:effectLst/>
              <a:latin typeface="+mn-lt"/>
              <a:ea typeface="+mn-ea"/>
              <a:cs typeface="+mn-cs"/>
            </a:rPr>
            <a:t>秒</a:t>
          </a:r>
          <a:endParaRPr lang="en-US" altLang="ja-JP" sz="1100" b="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setConnectionTimeToLive = 1 </a:t>
          </a:r>
          <a:r>
            <a:rPr lang="ja-JP" altLang="en-US" sz="1100">
              <a:solidFill>
                <a:sysClr val="windowText" lastClr="000000"/>
              </a:solidFill>
              <a:effectLst/>
              <a:latin typeface="+mn-lt"/>
              <a:ea typeface="+mn-ea"/>
              <a:cs typeface="+mn-cs"/>
            </a:rPr>
            <a:t>分</a:t>
          </a:r>
          <a:endParaRPr lang="ja-JP" altLang="ja-JP">
            <a:solidFill>
              <a:sysClr val="windowText" lastClr="000000"/>
            </a:solidFill>
            <a:effectLst/>
          </a:endParaRPr>
        </a:p>
        <a:p>
          <a:pPr algn="l"/>
          <a:endParaRPr kumimoji="1" lang="ja-JP" altLang="en-US" sz="1100" b="1">
            <a:solidFill>
              <a:sysClr val="windowText" lastClr="000000"/>
            </a:solidFill>
          </a:endParaRPr>
        </a:p>
      </xdr:txBody>
    </xdr:sp>
    <xdr:clientData/>
  </xdr:twoCellAnchor>
  <xdr:twoCellAnchor>
    <xdr:from>
      <xdr:col>13</xdr:col>
      <xdr:colOff>0</xdr:colOff>
      <xdr:row>78</xdr:row>
      <xdr:rowOff>203948</xdr:rowOff>
    </xdr:from>
    <xdr:to>
      <xdr:col>18</xdr:col>
      <xdr:colOff>419662</xdr:colOff>
      <xdr:row>85</xdr:row>
      <xdr:rowOff>112060</xdr:rowOff>
    </xdr:to>
    <xdr:sp macro="" textlink="">
      <xdr:nvSpPr>
        <xdr:cNvPr id="46" name="四角形: 角を丸くする 45">
          <a:extLst>
            <a:ext uri="{FF2B5EF4-FFF2-40B4-BE49-F238E27FC236}">
              <a16:creationId xmlns:a16="http://schemas.microsoft.com/office/drawing/2014/main" id="{43DFF593-EF4E-486F-B321-84991189B54F}"/>
            </a:ext>
          </a:extLst>
        </xdr:cNvPr>
        <xdr:cNvSpPr/>
      </xdr:nvSpPr>
      <xdr:spPr>
        <a:xfrm>
          <a:off x="9113520" y="17768048"/>
          <a:ext cx="3924862" cy="1481642"/>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HTTPS server1</a:t>
          </a:r>
          <a:endParaRPr kumimoji="1" lang="ja-JP" altLang="en-US" sz="1100" b="1">
            <a:solidFill>
              <a:sysClr val="windowText" lastClr="000000"/>
            </a:solidFill>
          </a:endParaRPr>
        </a:p>
      </xdr:txBody>
    </xdr:sp>
    <xdr:clientData/>
  </xdr:twoCellAnchor>
  <xdr:twoCellAnchor>
    <xdr:from>
      <xdr:col>14</xdr:col>
      <xdr:colOff>247654</xdr:colOff>
      <xdr:row>81</xdr:row>
      <xdr:rowOff>212912</xdr:rowOff>
    </xdr:from>
    <xdr:to>
      <xdr:col>17</xdr:col>
      <xdr:colOff>77324</xdr:colOff>
      <xdr:row>84</xdr:row>
      <xdr:rowOff>47627</xdr:rowOff>
    </xdr:to>
    <xdr:sp macro="" textlink="">
      <xdr:nvSpPr>
        <xdr:cNvPr id="47" name="四角形: 角を丸くする 46">
          <a:extLst>
            <a:ext uri="{FF2B5EF4-FFF2-40B4-BE49-F238E27FC236}">
              <a16:creationId xmlns:a16="http://schemas.microsoft.com/office/drawing/2014/main" id="{4E048CAA-93CA-4F3F-AB17-071330094537}"/>
            </a:ext>
          </a:extLst>
        </xdr:cNvPr>
        <xdr:cNvSpPr/>
      </xdr:nvSpPr>
      <xdr:spPr>
        <a:xfrm>
          <a:off x="10062214" y="18451382"/>
          <a:ext cx="1932790" cy="509085"/>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800" b="1">
              <a:solidFill>
                <a:srgbClr val="0070C0"/>
              </a:solidFill>
              <a:effectLst/>
              <a:latin typeface="+mn-lt"/>
              <a:ea typeface="+mn-ea"/>
              <a:cs typeface="+mn-cs"/>
            </a:rPr>
            <a:t>/api/v1/rscl4</a:t>
          </a:r>
        </a:p>
      </xdr:txBody>
    </xdr:sp>
    <xdr:clientData/>
  </xdr:twoCellAnchor>
  <xdr:twoCellAnchor>
    <xdr:from>
      <xdr:col>17</xdr:col>
      <xdr:colOff>655544</xdr:colOff>
      <xdr:row>78</xdr:row>
      <xdr:rowOff>207871</xdr:rowOff>
    </xdr:from>
    <xdr:to>
      <xdr:col>20</xdr:col>
      <xdr:colOff>67236</xdr:colOff>
      <xdr:row>81</xdr:row>
      <xdr:rowOff>179294</xdr:rowOff>
    </xdr:to>
    <xdr:sp macro="" textlink="">
      <xdr:nvSpPr>
        <xdr:cNvPr id="48" name="吹き出し: 線 47">
          <a:extLst>
            <a:ext uri="{FF2B5EF4-FFF2-40B4-BE49-F238E27FC236}">
              <a16:creationId xmlns:a16="http://schemas.microsoft.com/office/drawing/2014/main" id="{FC9D47CE-4464-4054-94C1-4A5D3BC4071F}"/>
            </a:ext>
          </a:extLst>
        </xdr:cNvPr>
        <xdr:cNvSpPr/>
      </xdr:nvSpPr>
      <xdr:spPr>
        <a:xfrm>
          <a:off x="12573224" y="17771971"/>
          <a:ext cx="1514812" cy="645793"/>
        </a:xfrm>
        <a:prstGeom prst="borderCallout1">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050">
              <a:solidFill>
                <a:sysClr val="windowText" lastClr="000000"/>
              </a:solidFill>
              <a:effectLst/>
              <a:latin typeface="+mn-lt"/>
              <a:ea typeface="+mn-ea"/>
              <a:cs typeface="+mn-cs"/>
            </a:rPr>
            <a:t>サーバ側で</a:t>
          </a:r>
          <a:r>
            <a:rPr kumimoji="1" lang="en-US" altLang="ja-JP" sz="1050" b="1">
              <a:solidFill>
                <a:srgbClr val="FF0000"/>
              </a:solidFill>
              <a:effectLst/>
              <a:latin typeface="+mn-lt"/>
              <a:ea typeface="+mn-ea"/>
              <a:cs typeface="+mn-cs"/>
            </a:rPr>
            <a:t>20</a:t>
          </a:r>
          <a:r>
            <a:rPr kumimoji="1" lang="ja-JP" altLang="en-US" sz="1050" b="1">
              <a:solidFill>
                <a:srgbClr val="FF0000"/>
              </a:solidFill>
              <a:effectLst/>
              <a:latin typeface="+mn-lt"/>
              <a:ea typeface="+mn-ea"/>
              <a:cs typeface="+mn-cs"/>
            </a:rPr>
            <a:t>秒</a:t>
          </a:r>
          <a:r>
            <a:rPr kumimoji="1" lang="ja-JP" altLang="en-US" sz="1050">
              <a:solidFill>
                <a:sysClr val="windowText" lastClr="000000"/>
              </a:solidFill>
              <a:effectLst/>
              <a:latin typeface="+mn-lt"/>
              <a:ea typeface="+mn-ea"/>
              <a:cs typeface="+mn-cs"/>
            </a:rPr>
            <a:t>待機するようにする</a:t>
          </a:r>
          <a:endParaRPr kumimoji="1" lang="ja-JP" altLang="en-US" sz="1050">
            <a:solidFill>
              <a:sysClr val="windowText" lastClr="000000"/>
            </a:solidFill>
          </a:endParaRPr>
        </a:p>
      </xdr:txBody>
    </xdr:sp>
    <xdr:clientData/>
  </xdr:twoCellAnchor>
  <xdr:twoCellAnchor>
    <xdr:from>
      <xdr:col>5</xdr:col>
      <xdr:colOff>676275</xdr:colOff>
      <xdr:row>82</xdr:row>
      <xdr:rowOff>86525</xdr:rowOff>
    </xdr:from>
    <xdr:to>
      <xdr:col>14</xdr:col>
      <xdr:colOff>247654</xdr:colOff>
      <xdr:row>83</xdr:row>
      <xdr:rowOff>12608</xdr:rowOff>
    </xdr:to>
    <xdr:cxnSp macro="">
      <xdr:nvCxnSpPr>
        <xdr:cNvPr id="49" name="直線矢印コネクタ 48">
          <a:extLst>
            <a:ext uri="{FF2B5EF4-FFF2-40B4-BE49-F238E27FC236}">
              <a16:creationId xmlns:a16="http://schemas.microsoft.com/office/drawing/2014/main" id="{BEBAE797-E3D7-4BBE-9804-48A6E5BC1016}"/>
            </a:ext>
          </a:extLst>
        </xdr:cNvPr>
        <xdr:cNvCxnSpPr>
          <a:cxnSpLocks/>
          <a:stCxn id="45" idx="3"/>
          <a:endCxn id="47" idx="1"/>
        </xdr:cNvCxnSpPr>
      </xdr:nvCxnSpPr>
      <xdr:spPr>
        <a:xfrm>
          <a:off x="4181475" y="18549785"/>
          <a:ext cx="5880739" cy="1508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496133</xdr:colOff>
      <xdr:row>86</xdr:row>
      <xdr:rowOff>108681</xdr:rowOff>
    </xdr:from>
    <xdr:to>
      <xdr:col>10</xdr:col>
      <xdr:colOff>502920</xdr:colOff>
      <xdr:row>93</xdr:row>
      <xdr:rowOff>137160</xdr:rowOff>
    </xdr:to>
    <xdr:sp macro="" textlink="">
      <xdr:nvSpPr>
        <xdr:cNvPr id="50" name="吹き出し: 線 49">
          <a:extLst>
            <a:ext uri="{FF2B5EF4-FFF2-40B4-BE49-F238E27FC236}">
              <a16:creationId xmlns:a16="http://schemas.microsoft.com/office/drawing/2014/main" id="{C4DA2BE8-A9A4-496E-B310-40C4329BE243}"/>
            </a:ext>
          </a:extLst>
        </xdr:cNvPr>
        <xdr:cNvSpPr/>
      </xdr:nvSpPr>
      <xdr:spPr>
        <a:xfrm>
          <a:off x="4336613" y="14198061"/>
          <a:ext cx="2567107" cy="1175289"/>
        </a:xfrm>
        <a:prstGeom prst="borderCallout1">
          <a:avLst>
            <a:gd name="adj1" fmla="val 18750"/>
            <a:gd name="adj2" fmla="val -8333"/>
            <a:gd name="adj3" fmla="val -36944"/>
            <a:gd name="adj4" fmla="val -13852"/>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050">
              <a:solidFill>
                <a:sysClr val="windowText" lastClr="000000"/>
              </a:solidFill>
              <a:effectLst/>
              <a:latin typeface="+mn-lt"/>
              <a:ea typeface="+mn-ea"/>
              <a:cs typeface="+mn-cs"/>
            </a:rPr>
            <a:t>RSCL1405</a:t>
          </a:r>
          <a:r>
            <a:rPr kumimoji="1" lang="ja-JP" altLang="ja-JP" sz="105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setResponseTimeout</a:t>
          </a:r>
          <a:r>
            <a:rPr lang="ja-JP" altLang="en-US" sz="1100" baseline="0">
              <a:solidFill>
                <a:sysClr val="windowText" lastClr="000000"/>
              </a:solidFill>
              <a:effectLst/>
              <a:latin typeface="+mn-lt"/>
              <a:ea typeface="+mn-ea"/>
              <a:cs typeface="+mn-cs"/>
            </a:rPr>
            <a:t> の確認</a:t>
          </a:r>
          <a:endParaRPr lang="en-US" altLang="ja-JP" sz="1100" baseline="0">
            <a:solidFill>
              <a:sysClr val="windowText" lastClr="000000"/>
            </a:solidFill>
            <a:effectLst/>
            <a:latin typeface="+mn-lt"/>
            <a:ea typeface="+mn-ea"/>
            <a:cs typeface="+mn-cs"/>
          </a:endParaRPr>
        </a:p>
        <a:p>
          <a:r>
            <a:rPr lang="ja-JP" altLang="en-US" sz="1100" baseline="0">
              <a:solidFill>
                <a:sysClr val="windowText" lastClr="000000"/>
              </a:solidFill>
              <a:effectLst/>
              <a:latin typeface="+mn-lt"/>
              <a:ea typeface="+mn-ea"/>
              <a:cs typeface="+mn-cs"/>
            </a:rPr>
            <a:t>・サーバからのレスポンス待ち</a:t>
          </a:r>
          <a:endParaRPr lang="en-US" altLang="ja-JP" sz="1100" baseline="0">
            <a:solidFill>
              <a:sysClr val="windowText" lastClr="000000"/>
            </a:solidFill>
            <a:effectLst/>
            <a:latin typeface="+mn-lt"/>
            <a:ea typeface="+mn-ea"/>
            <a:cs typeface="+mn-cs"/>
          </a:endParaRPr>
        </a:p>
        <a:p>
          <a:endParaRPr lang="ja-JP" altLang="ja-JP" sz="1050">
            <a:solidFill>
              <a:sysClr val="windowText" lastClr="000000"/>
            </a:solidFill>
            <a:effectLst/>
          </a:endParaRPr>
        </a:p>
        <a:p>
          <a:r>
            <a:rPr kumimoji="1" lang="ja-JP" altLang="ja-JP" sz="1050">
              <a:solidFill>
                <a:sysClr val="windowText" lastClr="000000"/>
              </a:solidFill>
              <a:effectLst/>
              <a:latin typeface="+mn-lt"/>
              <a:ea typeface="+mn-ea"/>
              <a:cs typeface="+mn-cs"/>
            </a:rPr>
            <a:t>・</a:t>
          </a:r>
          <a:r>
            <a:rPr kumimoji="1" lang="en-US" altLang="ja-JP" sz="1050" b="1">
              <a:solidFill>
                <a:srgbClr val="FF0000"/>
              </a:solidFill>
              <a:effectLst/>
              <a:latin typeface="+mn-lt"/>
              <a:ea typeface="+mn-ea"/>
              <a:cs typeface="+mn-cs"/>
            </a:rPr>
            <a:t>10</a:t>
          </a:r>
          <a:r>
            <a:rPr kumimoji="1" lang="ja-JP" altLang="en-US" sz="1050" b="1">
              <a:solidFill>
                <a:srgbClr val="FF0000"/>
              </a:solidFill>
              <a:effectLst/>
              <a:latin typeface="+mn-lt"/>
              <a:ea typeface="+mn-ea"/>
              <a:cs typeface="+mn-cs"/>
            </a:rPr>
            <a:t>秒後</a:t>
          </a:r>
          <a:r>
            <a:rPr kumimoji="1" lang="ja-JP" altLang="en-US" sz="1050">
              <a:solidFill>
                <a:sysClr val="windowText" lastClr="000000"/>
              </a:solidFill>
              <a:effectLst/>
              <a:latin typeface="+mn-lt"/>
              <a:ea typeface="+mn-ea"/>
              <a:cs typeface="+mn-cs"/>
            </a:rPr>
            <a:t>にエラーとなること</a:t>
          </a:r>
          <a:endParaRPr kumimoji="1" lang="en-US" altLang="ja-JP" sz="1050">
            <a:solidFill>
              <a:sysClr val="windowText" lastClr="000000"/>
            </a:solidFill>
            <a:effectLst/>
            <a:latin typeface="+mn-lt"/>
            <a:ea typeface="+mn-ea"/>
            <a:cs typeface="+mn-cs"/>
          </a:endParaRPr>
        </a:p>
        <a:p>
          <a:r>
            <a:rPr kumimoji="1" lang="ja-JP" altLang="en-US" sz="1050">
              <a:solidFill>
                <a:sysClr val="windowText" lastClr="000000"/>
              </a:solidFill>
              <a:effectLst/>
              <a:latin typeface="+mn-lt"/>
              <a:ea typeface="+mn-ea"/>
              <a:cs typeface="+mn-cs"/>
            </a:rPr>
            <a:t>・エラーログの確認（</a:t>
          </a:r>
          <a:r>
            <a:rPr kumimoji="1" lang="en-US" altLang="ja-JP" sz="1050" b="1">
              <a:solidFill>
                <a:srgbClr val="FF0000"/>
              </a:solidFill>
              <a:effectLst/>
              <a:latin typeface="+mn-lt"/>
              <a:ea typeface="+mn-ea"/>
              <a:cs typeface="+mn-cs"/>
            </a:rPr>
            <a:t>Exception</a:t>
          </a:r>
          <a:r>
            <a:rPr kumimoji="1" lang="ja-JP" altLang="en-US" sz="1050" b="1">
              <a:solidFill>
                <a:srgbClr val="FF0000"/>
              </a:solidFill>
              <a:effectLst/>
              <a:latin typeface="+mn-lt"/>
              <a:ea typeface="+mn-ea"/>
              <a:cs typeface="+mn-cs"/>
            </a:rPr>
            <a:t>を確認</a:t>
          </a:r>
          <a:r>
            <a:rPr kumimoji="1" lang="ja-JP" altLang="en-US" sz="1050">
              <a:solidFill>
                <a:sysClr val="windowText" lastClr="000000"/>
              </a:solidFill>
              <a:effectLst/>
              <a:latin typeface="+mn-lt"/>
              <a:ea typeface="+mn-ea"/>
              <a:cs typeface="+mn-cs"/>
            </a:rPr>
            <a:t>）</a:t>
          </a:r>
          <a:endParaRPr kumimoji="1" lang="en-US" altLang="ja-JP" sz="1050">
            <a:solidFill>
              <a:sysClr val="windowText" lastClr="000000"/>
            </a:solidFill>
            <a:effectLst/>
            <a:latin typeface="+mn-lt"/>
            <a:ea typeface="+mn-ea"/>
            <a:cs typeface="+mn-cs"/>
          </a:endParaRPr>
        </a:p>
        <a:p>
          <a:r>
            <a:rPr kumimoji="1" lang="ja-JP" altLang="en-US" sz="1050">
              <a:solidFill>
                <a:sysClr val="windowText" lastClr="000000"/>
              </a:solidFill>
              <a:effectLst/>
              <a:latin typeface="+mn-lt"/>
              <a:ea typeface="+mn-ea"/>
              <a:cs typeface="+mn-cs"/>
            </a:rPr>
            <a:t>・エラー画面への遷移</a:t>
          </a:r>
          <a:endParaRPr kumimoji="1" lang="ja-JP" altLang="en-US" sz="1050">
            <a:solidFill>
              <a:sysClr val="windowText" lastClr="000000"/>
            </a:solidFill>
          </a:endParaRPr>
        </a:p>
      </xdr:txBody>
    </xdr:sp>
    <xdr:clientData/>
  </xdr:twoCellAnchor>
  <xdr:twoCellAnchor>
    <xdr:from>
      <xdr:col>13</xdr:col>
      <xdr:colOff>0</xdr:colOff>
      <xdr:row>104</xdr:row>
      <xdr:rowOff>69477</xdr:rowOff>
    </xdr:from>
    <xdr:to>
      <xdr:col>18</xdr:col>
      <xdr:colOff>419662</xdr:colOff>
      <xdr:row>110</xdr:row>
      <xdr:rowOff>212913</xdr:rowOff>
    </xdr:to>
    <xdr:sp macro="" textlink="">
      <xdr:nvSpPr>
        <xdr:cNvPr id="51" name="四角形: 角を丸くする 50">
          <a:extLst>
            <a:ext uri="{FF2B5EF4-FFF2-40B4-BE49-F238E27FC236}">
              <a16:creationId xmlns:a16="http://schemas.microsoft.com/office/drawing/2014/main" id="{7A32D1E3-8A8A-499F-9CCA-1704C103CF7E}"/>
            </a:ext>
          </a:extLst>
        </xdr:cNvPr>
        <xdr:cNvSpPr/>
      </xdr:nvSpPr>
      <xdr:spPr>
        <a:xfrm>
          <a:off x="9113520" y="23478117"/>
          <a:ext cx="3924862" cy="1492176"/>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HTTPS server4</a:t>
          </a:r>
          <a:endParaRPr kumimoji="1" lang="ja-JP" altLang="en-US" sz="1100" b="1">
            <a:solidFill>
              <a:sysClr val="windowText" lastClr="000000"/>
            </a:solidFill>
          </a:endParaRPr>
        </a:p>
      </xdr:txBody>
    </xdr:sp>
    <xdr:clientData/>
  </xdr:twoCellAnchor>
  <xdr:twoCellAnchor>
    <xdr:from>
      <xdr:col>1</xdr:col>
      <xdr:colOff>28575</xdr:colOff>
      <xdr:row>96</xdr:row>
      <xdr:rowOff>159123</xdr:rowOff>
    </xdr:from>
    <xdr:to>
      <xdr:col>5</xdr:col>
      <xdr:colOff>676275</xdr:colOff>
      <xdr:row>105</xdr:row>
      <xdr:rowOff>47545</xdr:rowOff>
    </xdr:to>
    <xdr:sp macro="" textlink="">
      <xdr:nvSpPr>
        <xdr:cNvPr id="52" name="四角形: 角を丸くする 51">
          <a:extLst>
            <a:ext uri="{FF2B5EF4-FFF2-40B4-BE49-F238E27FC236}">
              <a16:creationId xmlns:a16="http://schemas.microsoft.com/office/drawing/2014/main" id="{B828367D-264B-4624-99E1-0B4E32F30807}"/>
            </a:ext>
          </a:extLst>
        </xdr:cNvPr>
        <xdr:cNvSpPr/>
      </xdr:nvSpPr>
      <xdr:spPr>
        <a:xfrm>
          <a:off x="729615" y="21769443"/>
          <a:ext cx="3451860" cy="1911532"/>
        </a:xfrm>
        <a:prstGeom prst="roundRect">
          <a:avLst/>
        </a:prstGeom>
        <a:solidFill>
          <a:srgbClr val="99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ysClr val="windowText" lastClr="000000"/>
              </a:solidFill>
            </a:rPr>
            <a:t>RestTemplate1</a:t>
          </a:r>
          <a:r>
            <a:rPr kumimoji="1" lang="en-US" altLang="ja-JP" sz="1000" b="1">
              <a:solidFill>
                <a:srgbClr val="FF0000"/>
              </a:solidFill>
            </a:rPr>
            <a:t>(</a:t>
          </a:r>
          <a:r>
            <a:rPr kumimoji="1" lang="ja-JP" altLang="en-US" sz="1000" b="1">
              <a:solidFill>
                <a:srgbClr val="FF0000"/>
              </a:solidFill>
            </a:rPr>
            <a:t>これをデフォルト値とする</a:t>
          </a:r>
          <a:r>
            <a:rPr kumimoji="1" lang="en-US" altLang="ja-JP" sz="1000" b="1">
              <a:solidFill>
                <a:srgbClr val="FF0000"/>
              </a:solidFill>
            </a:rPr>
            <a:t>)</a:t>
          </a:r>
          <a:endParaRPr kumimoji="1" lang="en-US" altLang="ja-JP" sz="1600" b="1">
            <a:solidFill>
              <a:srgbClr val="FF0000"/>
            </a:solidFill>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setMaxConnTotal = 2</a:t>
          </a:r>
          <a:endParaRPr lang="ja-JP" altLang="ja-JP">
            <a:solidFill>
              <a:sysClr val="windowText" lastClr="000000"/>
            </a:solidFill>
            <a:effectLst/>
          </a:endParaRPr>
        </a:p>
        <a:p>
          <a:pPr eaLnBrk="1" fontAlgn="auto" latinLnBrk="0" hangingPunct="1"/>
          <a:r>
            <a:rPr lang="ja-JP" altLang="ja-JP"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setMaxConnPerRoute = 1</a:t>
          </a: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setSoTimeout = 3 </a:t>
          </a:r>
          <a:r>
            <a:rPr lang="ja-JP" altLang="en-US" sz="1100">
              <a:solidFill>
                <a:sysClr val="windowText" lastClr="000000"/>
              </a:solidFill>
              <a:effectLst/>
              <a:latin typeface="+mn-lt"/>
              <a:ea typeface="+mn-ea"/>
              <a:cs typeface="+mn-cs"/>
            </a:rPr>
            <a:t>分</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setConnectTimeout = 5</a:t>
          </a:r>
          <a:r>
            <a:rPr lang="ja-JP" altLang="en-US" sz="1100">
              <a:solidFill>
                <a:sysClr val="windowText" lastClr="000000"/>
              </a:solidFill>
              <a:effectLst/>
              <a:latin typeface="+mn-lt"/>
              <a:ea typeface="+mn-ea"/>
              <a:cs typeface="+mn-cs"/>
            </a:rPr>
            <a:t>秒</a:t>
          </a:r>
          <a:endParaRPr lang="en-US" altLang="ja-JP" sz="110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setResponseTimeout = </a:t>
          </a:r>
          <a:r>
            <a:rPr lang="en-US" altLang="ja-JP" sz="1100" b="0">
              <a:solidFill>
                <a:sysClr val="windowText" lastClr="000000"/>
              </a:solidFill>
              <a:effectLst/>
              <a:latin typeface="+mn-lt"/>
              <a:ea typeface="+mn-ea"/>
              <a:cs typeface="+mn-cs"/>
            </a:rPr>
            <a:t>10</a:t>
          </a:r>
          <a:r>
            <a:rPr lang="ja-JP" altLang="en-US" sz="1100" b="0">
              <a:solidFill>
                <a:sysClr val="windowText" lastClr="000000"/>
              </a:solidFill>
              <a:effectLst/>
              <a:latin typeface="+mn-lt"/>
              <a:ea typeface="+mn-ea"/>
              <a:cs typeface="+mn-cs"/>
            </a:rPr>
            <a:t>秒</a:t>
          </a:r>
          <a:endParaRPr lang="en-US" altLang="ja-JP" sz="1100" b="0">
            <a:solidFill>
              <a:sysClr val="windowText" lastClr="000000"/>
            </a:solidFill>
            <a:effectLst/>
            <a:latin typeface="+mn-lt"/>
            <a:ea typeface="+mn-ea"/>
            <a:cs typeface="+mn-cs"/>
          </a:endParaRPr>
        </a:p>
        <a:p>
          <a:pPr eaLnBrk="1" fontAlgn="auto" latinLnBrk="0" hangingPunct="1"/>
          <a:r>
            <a:rPr lang="ja-JP" altLang="en-US" sz="110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setConnectionTimeToLive = 1 </a:t>
          </a:r>
          <a:r>
            <a:rPr lang="ja-JP" altLang="en-US" sz="1100">
              <a:solidFill>
                <a:sysClr val="windowText" lastClr="000000"/>
              </a:solidFill>
              <a:effectLst/>
              <a:latin typeface="+mn-lt"/>
              <a:ea typeface="+mn-ea"/>
              <a:cs typeface="+mn-cs"/>
            </a:rPr>
            <a:t>分</a:t>
          </a:r>
          <a:endParaRPr lang="ja-JP" altLang="ja-JP">
            <a:solidFill>
              <a:sysClr val="windowText" lastClr="000000"/>
            </a:solidFill>
            <a:effectLst/>
          </a:endParaRPr>
        </a:p>
        <a:p>
          <a:pPr algn="l"/>
          <a:endParaRPr kumimoji="1" lang="ja-JP" altLang="en-US" sz="1100" b="1">
            <a:solidFill>
              <a:sysClr val="windowText" lastClr="000000"/>
            </a:solidFill>
          </a:endParaRPr>
        </a:p>
      </xdr:txBody>
    </xdr:sp>
    <xdr:clientData/>
  </xdr:twoCellAnchor>
  <xdr:twoCellAnchor>
    <xdr:from>
      <xdr:col>5</xdr:col>
      <xdr:colOff>676275</xdr:colOff>
      <xdr:row>100</xdr:row>
      <xdr:rowOff>220996</xdr:rowOff>
    </xdr:from>
    <xdr:to>
      <xdr:col>14</xdr:col>
      <xdr:colOff>314890</xdr:colOff>
      <xdr:row>108</xdr:row>
      <xdr:rowOff>57431</xdr:rowOff>
    </xdr:to>
    <xdr:cxnSp macro="">
      <xdr:nvCxnSpPr>
        <xdr:cNvPr id="53" name="直線矢印コネクタ 52">
          <a:extLst>
            <a:ext uri="{FF2B5EF4-FFF2-40B4-BE49-F238E27FC236}">
              <a16:creationId xmlns:a16="http://schemas.microsoft.com/office/drawing/2014/main" id="{D4D6E6BF-0B33-49CD-AEAE-3BA06E517986}"/>
            </a:ext>
          </a:extLst>
        </xdr:cNvPr>
        <xdr:cNvCxnSpPr>
          <a:cxnSpLocks/>
          <a:stCxn id="52" idx="3"/>
          <a:endCxn id="54" idx="1"/>
        </xdr:cNvCxnSpPr>
      </xdr:nvCxnSpPr>
      <xdr:spPr>
        <a:xfrm>
          <a:off x="4181475" y="22730476"/>
          <a:ext cx="5947975" cy="16347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314890</xdr:colOff>
      <xdr:row>107</xdr:row>
      <xdr:rowOff>22411</xdr:rowOff>
    </xdr:from>
    <xdr:to>
      <xdr:col>17</xdr:col>
      <xdr:colOff>144560</xdr:colOff>
      <xdr:row>109</xdr:row>
      <xdr:rowOff>92449</xdr:rowOff>
    </xdr:to>
    <xdr:sp macro="" textlink="">
      <xdr:nvSpPr>
        <xdr:cNvPr id="54" name="四角形: 角を丸くする 53">
          <a:extLst>
            <a:ext uri="{FF2B5EF4-FFF2-40B4-BE49-F238E27FC236}">
              <a16:creationId xmlns:a16="http://schemas.microsoft.com/office/drawing/2014/main" id="{8EA3DE42-EC72-400D-9BC0-CE1ED40FD890}"/>
            </a:ext>
          </a:extLst>
        </xdr:cNvPr>
        <xdr:cNvSpPr/>
      </xdr:nvSpPr>
      <xdr:spPr>
        <a:xfrm>
          <a:off x="10129450" y="24105421"/>
          <a:ext cx="1932790" cy="519618"/>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800" b="1">
              <a:solidFill>
                <a:srgbClr val="002060"/>
              </a:solidFill>
              <a:effectLst/>
              <a:latin typeface="+mn-lt"/>
              <a:ea typeface="+mn-ea"/>
              <a:cs typeface="+mn-cs"/>
            </a:rPr>
            <a:t>/api/v1/rscl6</a:t>
          </a:r>
        </a:p>
      </xdr:txBody>
    </xdr:sp>
    <xdr:clientData/>
  </xdr:twoCellAnchor>
  <xdr:twoCellAnchor>
    <xdr:from>
      <xdr:col>6</xdr:col>
      <xdr:colOff>3922</xdr:colOff>
      <xdr:row>108</xdr:row>
      <xdr:rowOff>57431</xdr:rowOff>
    </xdr:from>
    <xdr:to>
      <xdr:col>14</xdr:col>
      <xdr:colOff>314890</xdr:colOff>
      <xdr:row>112</xdr:row>
      <xdr:rowOff>86538</xdr:rowOff>
    </xdr:to>
    <xdr:cxnSp macro="">
      <xdr:nvCxnSpPr>
        <xdr:cNvPr id="55" name="直線矢印コネクタ 54">
          <a:extLst>
            <a:ext uri="{FF2B5EF4-FFF2-40B4-BE49-F238E27FC236}">
              <a16:creationId xmlns:a16="http://schemas.microsoft.com/office/drawing/2014/main" id="{754BD242-A06F-45C4-A1F0-37BA5B669677}"/>
            </a:ext>
          </a:extLst>
        </xdr:cNvPr>
        <xdr:cNvCxnSpPr>
          <a:cxnSpLocks/>
          <a:endCxn id="54" idx="1"/>
        </xdr:cNvCxnSpPr>
      </xdr:nvCxnSpPr>
      <xdr:spPr>
        <a:xfrm flipV="1">
          <a:off x="4210162" y="24365231"/>
          <a:ext cx="5919288" cy="9282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369795</xdr:colOff>
      <xdr:row>66</xdr:row>
      <xdr:rowOff>156883</xdr:rowOff>
    </xdr:from>
    <xdr:to>
      <xdr:col>7</xdr:col>
      <xdr:colOff>134472</xdr:colOff>
      <xdr:row>68</xdr:row>
      <xdr:rowOff>112058</xdr:rowOff>
    </xdr:to>
    <xdr:sp macro="" textlink="">
      <xdr:nvSpPr>
        <xdr:cNvPr id="56" name="フローチャート: 処理 55">
          <a:extLst>
            <a:ext uri="{FF2B5EF4-FFF2-40B4-BE49-F238E27FC236}">
              <a16:creationId xmlns:a16="http://schemas.microsoft.com/office/drawing/2014/main" id="{88F3DCCA-029D-4205-AB4B-126D5DA71D76}"/>
            </a:ext>
          </a:extLst>
        </xdr:cNvPr>
        <xdr:cNvSpPr/>
      </xdr:nvSpPr>
      <xdr:spPr>
        <a:xfrm>
          <a:off x="4576035" y="15023503"/>
          <a:ext cx="465717" cy="404755"/>
        </a:xfrm>
        <a:prstGeom prst="flowChart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a:t>①</a:t>
          </a:r>
        </a:p>
      </xdr:txBody>
    </xdr:sp>
    <xdr:clientData/>
  </xdr:twoCellAnchor>
  <xdr:twoCellAnchor>
    <xdr:from>
      <xdr:col>6</xdr:col>
      <xdr:colOff>347383</xdr:colOff>
      <xdr:row>80</xdr:row>
      <xdr:rowOff>123266</xdr:rowOff>
    </xdr:from>
    <xdr:to>
      <xdr:col>7</xdr:col>
      <xdr:colOff>112060</xdr:colOff>
      <xdr:row>82</xdr:row>
      <xdr:rowOff>78441</xdr:rowOff>
    </xdr:to>
    <xdr:sp macro="" textlink="">
      <xdr:nvSpPr>
        <xdr:cNvPr id="57" name="フローチャート: 処理 56">
          <a:extLst>
            <a:ext uri="{FF2B5EF4-FFF2-40B4-BE49-F238E27FC236}">
              <a16:creationId xmlns:a16="http://schemas.microsoft.com/office/drawing/2014/main" id="{1D49EDA4-7BBB-4950-8C79-119B841B5F9D}"/>
            </a:ext>
          </a:extLst>
        </xdr:cNvPr>
        <xdr:cNvSpPr/>
      </xdr:nvSpPr>
      <xdr:spPr>
        <a:xfrm>
          <a:off x="4553623" y="18136946"/>
          <a:ext cx="465717" cy="404755"/>
        </a:xfrm>
        <a:prstGeom prst="flowChart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a:t>①</a:t>
          </a:r>
        </a:p>
      </xdr:txBody>
    </xdr:sp>
    <xdr:clientData/>
  </xdr:twoCellAnchor>
  <xdr:twoCellAnchor>
    <xdr:from>
      <xdr:col>6</xdr:col>
      <xdr:colOff>448236</xdr:colOff>
      <xdr:row>99</xdr:row>
      <xdr:rowOff>179296</xdr:rowOff>
    </xdr:from>
    <xdr:to>
      <xdr:col>7</xdr:col>
      <xdr:colOff>212913</xdr:colOff>
      <xdr:row>101</xdr:row>
      <xdr:rowOff>134471</xdr:rowOff>
    </xdr:to>
    <xdr:sp macro="" textlink="">
      <xdr:nvSpPr>
        <xdr:cNvPr id="58" name="フローチャート: 処理 57">
          <a:extLst>
            <a:ext uri="{FF2B5EF4-FFF2-40B4-BE49-F238E27FC236}">
              <a16:creationId xmlns:a16="http://schemas.microsoft.com/office/drawing/2014/main" id="{E768D2F9-2D2A-451D-88A7-9E6AEFD8D421}"/>
            </a:ext>
          </a:extLst>
        </xdr:cNvPr>
        <xdr:cNvSpPr/>
      </xdr:nvSpPr>
      <xdr:spPr>
        <a:xfrm>
          <a:off x="4654476" y="22463986"/>
          <a:ext cx="465717" cy="404755"/>
        </a:xfrm>
        <a:prstGeom prst="flowChart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a:t>①</a:t>
          </a:r>
        </a:p>
      </xdr:txBody>
    </xdr:sp>
    <xdr:clientData/>
  </xdr:twoCellAnchor>
  <xdr:twoCellAnchor>
    <xdr:from>
      <xdr:col>7</xdr:col>
      <xdr:colOff>605118</xdr:colOff>
      <xdr:row>100</xdr:row>
      <xdr:rowOff>212913</xdr:rowOff>
    </xdr:from>
    <xdr:to>
      <xdr:col>8</xdr:col>
      <xdr:colOff>369795</xdr:colOff>
      <xdr:row>102</xdr:row>
      <xdr:rowOff>168088</xdr:rowOff>
    </xdr:to>
    <xdr:sp macro="" textlink="">
      <xdr:nvSpPr>
        <xdr:cNvPr id="59" name="フローチャート: 処理 58">
          <a:extLst>
            <a:ext uri="{FF2B5EF4-FFF2-40B4-BE49-F238E27FC236}">
              <a16:creationId xmlns:a16="http://schemas.microsoft.com/office/drawing/2014/main" id="{41380475-4593-433B-8F9B-D623C5674743}"/>
            </a:ext>
          </a:extLst>
        </xdr:cNvPr>
        <xdr:cNvSpPr/>
      </xdr:nvSpPr>
      <xdr:spPr>
        <a:xfrm>
          <a:off x="5512398" y="22722393"/>
          <a:ext cx="465717" cy="404755"/>
        </a:xfrm>
        <a:prstGeom prst="flowChart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a:t>③</a:t>
          </a:r>
        </a:p>
      </xdr:txBody>
    </xdr:sp>
    <xdr:clientData/>
  </xdr:twoCellAnchor>
  <xdr:twoCellAnchor>
    <xdr:from>
      <xdr:col>6</xdr:col>
      <xdr:colOff>369795</xdr:colOff>
      <xdr:row>109</xdr:row>
      <xdr:rowOff>168089</xdr:rowOff>
    </xdr:from>
    <xdr:to>
      <xdr:col>7</xdr:col>
      <xdr:colOff>134472</xdr:colOff>
      <xdr:row>111</xdr:row>
      <xdr:rowOff>123264</xdr:rowOff>
    </xdr:to>
    <xdr:sp macro="" textlink="">
      <xdr:nvSpPr>
        <xdr:cNvPr id="60" name="フローチャート: 処理 59">
          <a:extLst>
            <a:ext uri="{FF2B5EF4-FFF2-40B4-BE49-F238E27FC236}">
              <a16:creationId xmlns:a16="http://schemas.microsoft.com/office/drawing/2014/main" id="{8BB7FCC8-3C1E-4028-B440-31D8D4E05935}"/>
            </a:ext>
          </a:extLst>
        </xdr:cNvPr>
        <xdr:cNvSpPr/>
      </xdr:nvSpPr>
      <xdr:spPr>
        <a:xfrm>
          <a:off x="4576035" y="24700679"/>
          <a:ext cx="465717" cy="404755"/>
        </a:xfrm>
        <a:prstGeom prst="flowChartProcess">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600"/>
            <a:t>②</a:t>
          </a:r>
        </a:p>
      </xdr:txBody>
    </xdr:sp>
    <xdr:clientData/>
  </xdr:twoCellAnchor>
  <xdr:twoCellAnchor>
    <xdr:from>
      <xdr:col>12</xdr:col>
      <xdr:colOff>26494</xdr:colOff>
      <xdr:row>95</xdr:row>
      <xdr:rowOff>104776</xdr:rowOff>
    </xdr:from>
    <xdr:to>
      <xdr:col>21</xdr:col>
      <xdr:colOff>485775</xdr:colOff>
      <xdr:row>103</xdr:row>
      <xdr:rowOff>0</xdr:rowOff>
    </xdr:to>
    <xdr:sp macro="" textlink="">
      <xdr:nvSpPr>
        <xdr:cNvPr id="61" name="吹き出し: 線 60">
          <a:extLst>
            <a:ext uri="{FF2B5EF4-FFF2-40B4-BE49-F238E27FC236}">
              <a16:creationId xmlns:a16="http://schemas.microsoft.com/office/drawing/2014/main" id="{B155CE97-3377-4E3E-B606-9CD66CFC74BB}"/>
            </a:ext>
          </a:extLst>
        </xdr:cNvPr>
        <xdr:cNvSpPr/>
      </xdr:nvSpPr>
      <xdr:spPr>
        <a:xfrm>
          <a:off x="8256094" y="16392526"/>
          <a:ext cx="6631481" cy="1266824"/>
        </a:xfrm>
        <a:prstGeom prst="borderCallout1">
          <a:avLst>
            <a:gd name="adj1" fmla="val 18750"/>
            <a:gd name="adj2" fmla="val -8333"/>
            <a:gd name="adj3" fmla="val 110337"/>
            <a:gd name="adj4" fmla="val -28751"/>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050">
              <a:solidFill>
                <a:sysClr val="windowText" lastClr="000000"/>
              </a:solidFill>
              <a:effectLst/>
              <a:latin typeface="+mn-lt"/>
              <a:ea typeface="+mn-ea"/>
              <a:cs typeface="+mn-cs"/>
            </a:rPr>
            <a:t>RSCL1406</a:t>
          </a:r>
          <a:r>
            <a:rPr kumimoji="1" lang="ja-JP" altLang="ja-JP" sz="1050">
              <a:solidFill>
                <a:sysClr val="windowText" lastClr="000000"/>
              </a:solidFill>
              <a:effectLst/>
              <a:latin typeface="+mn-lt"/>
              <a:ea typeface="+mn-ea"/>
              <a:cs typeface="+mn-cs"/>
            </a:rPr>
            <a:t>：</a:t>
          </a:r>
          <a:r>
            <a:rPr lang="en-US" altLang="ja-JP" sz="1100">
              <a:solidFill>
                <a:sysClr val="windowText" lastClr="000000"/>
              </a:solidFill>
              <a:effectLst/>
              <a:latin typeface="+mn-lt"/>
              <a:ea typeface="+mn-ea"/>
              <a:cs typeface="+mn-cs"/>
            </a:rPr>
            <a:t>setSoTimeout</a:t>
          </a:r>
          <a:r>
            <a:rPr lang="ja-JP" altLang="en-US" sz="1100" baseline="0">
              <a:solidFill>
                <a:sysClr val="windowText" lastClr="000000"/>
              </a:solidFill>
              <a:effectLst/>
              <a:latin typeface="+mn-lt"/>
              <a:ea typeface="+mn-ea"/>
              <a:cs typeface="+mn-cs"/>
            </a:rPr>
            <a:t> の確認</a:t>
          </a:r>
          <a:endParaRPr lang="en-US" altLang="ja-JP" sz="1100" baseline="0">
            <a:solidFill>
              <a:sysClr val="windowText" lastClr="000000"/>
            </a:solidFill>
            <a:effectLst/>
            <a:latin typeface="+mn-lt"/>
            <a:ea typeface="+mn-ea"/>
            <a:cs typeface="+mn-cs"/>
          </a:endParaRPr>
        </a:p>
        <a:p>
          <a:r>
            <a:rPr lang="ja-JP" altLang="en-US" sz="1100" baseline="0">
              <a:solidFill>
                <a:sysClr val="windowText" lastClr="000000"/>
              </a:solidFill>
              <a:effectLst/>
              <a:latin typeface="+mn-lt"/>
              <a:ea typeface="+mn-ea"/>
              <a:cs typeface="+mn-cs"/>
            </a:rPr>
            <a:t>・</a:t>
          </a:r>
          <a:r>
            <a:rPr lang="en-US" altLang="ja-JP" sz="1100" baseline="0">
              <a:solidFill>
                <a:sysClr val="windowText" lastClr="000000"/>
              </a:solidFill>
              <a:effectLst/>
              <a:latin typeface="+mn-lt"/>
              <a:ea typeface="+mn-ea"/>
              <a:cs typeface="+mn-cs"/>
            </a:rPr>
            <a:t>SSL</a:t>
          </a:r>
          <a:r>
            <a:rPr lang="ja-JP" altLang="en-US" sz="1100" baseline="0">
              <a:solidFill>
                <a:sysClr val="windowText" lastClr="000000"/>
              </a:solidFill>
              <a:effectLst/>
              <a:latin typeface="+mn-lt"/>
              <a:ea typeface="+mn-ea"/>
              <a:cs typeface="+mn-cs"/>
            </a:rPr>
            <a:t>ハンドシェイク完了前にタイムアウト</a:t>
          </a:r>
          <a:endParaRPr lang="en-US" altLang="ja-JP" sz="1100" baseline="0">
            <a:solidFill>
              <a:sysClr val="windowText" lastClr="000000"/>
            </a:solidFill>
            <a:effectLst/>
            <a:latin typeface="+mn-lt"/>
            <a:ea typeface="+mn-ea"/>
            <a:cs typeface="+mn-cs"/>
          </a:endParaRPr>
        </a:p>
        <a:p>
          <a:endParaRPr lang="en-US" altLang="ja-JP" sz="1050">
            <a:solidFill>
              <a:sysClr val="windowText" lastClr="000000"/>
            </a:solidFill>
            <a:effectLst/>
          </a:endParaRPr>
        </a:p>
        <a:p>
          <a:r>
            <a:rPr lang="ja-JP" altLang="en-US" sz="1050">
              <a:solidFill>
                <a:sysClr val="windowText" lastClr="000000"/>
              </a:solidFill>
              <a:effectLst/>
            </a:rPr>
            <a:t>・①は正常終了</a:t>
          </a:r>
          <a:endParaRPr lang="en-US" altLang="ja-JP" sz="1050">
            <a:solidFill>
              <a:sysClr val="windowText" lastClr="000000"/>
            </a:solidFill>
            <a:effectLst/>
          </a:endParaRPr>
        </a:p>
        <a:p>
          <a:r>
            <a:rPr lang="ja-JP" altLang="en-US" sz="1050">
              <a:solidFill>
                <a:sysClr val="windowText" lastClr="000000"/>
              </a:solidFill>
              <a:effectLst/>
            </a:rPr>
            <a:t>・②が即エラー（</a:t>
          </a:r>
          <a:r>
            <a:rPr lang="en-US" altLang="ja-JP" sz="1050" b="1">
              <a:solidFill>
                <a:srgbClr val="FF0000"/>
              </a:solidFill>
              <a:effectLst/>
            </a:rPr>
            <a:t>Exception</a:t>
          </a:r>
          <a:r>
            <a:rPr lang="ja-JP" altLang="en-US" sz="1050" b="1">
              <a:solidFill>
                <a:srgbClr val="FF0000"/>
              </a:solidFill>
              <a:effectLst/>
            </a:rPr>
            <a:t>を確認</a:t>
          </a:r>
          <a:r>
            <a:rPr lang="ja-JP" altLang="en-US" sz="1050">
              <a:solidFill>
                <a:sysClr val="windowText" lastClr="000000"/>
              </a:solidFill>
              <a:effectLst/>
            </a:rPr>
            <a:t>）</a:t>
          </a:r>
          <a:endParaRPr lang="ja-JP" altLang="ja-JP" sz="1050">
            <a:solidFill>
              <a:sysClr val="windowText" lastClr="000000"/>
            </a:solidFill>
            <a:effectLst/>
          </a:endParaRPr>
        </a:p>
        <a:p>
          <a:r>
            <a:rPr kumimoji="1" lang="ja-JP" altLang="en-US" sz="1050">
              <a:solidFill>
                <a:sysClr val="windowText" lastClr="000000"/>
              </a:solidFill>
              <a:effectLst/>
              <a:latin typeface="+mn-lt"/>
              <a:ea typeface="+mn-ea"/>
              <a:cs typeface="+mn-cs"/>
            </a:rPr>
            <a:t>・③が数秒後にエラー（サーバのスレッド数によっては正常終了する可能性があるため、③は</a:t>
          </a:r>
          <a:r>
            <a:rPr kumimoji="1" lang="en-US" altLang="ja-JP" sz="1050">
              <a:solidFill>
                <a:sysClr val="windowText" lastClr="000000"/>
              </a:solidFill>
              <a:effectLst/>
              <a:latin typeface="+mn-lt"/>
              <a:ea typeface="+mn-ea"/>
              <a:cs typeface="+mn-cs"/>
            </a:rPr>
            <a:t>CI</a:t>
          </a:r>
          <a:r>
            <a:rPr kumimoji="1" lang="ja-JP" altLang="en-US" sz="1050">
              <a:solidFill>
                <a:sysClr val="windowText" lastClr="000000"/>
              </a:solidFill>
              <a:effectLst/>
              <a:latin typeface="+mn-lt"/>
              <a:ea typeface="+mn-ea"/>
              <a:cs typeface="+mn-cs"/>
            </a:rPr>
            <a:t>では実施しない）</a:t>
          </a:r>
          <a:endParaRPr kumimoji="1" lang="en-US" altLang="ja-JP" sz="1050">
            <a:solidFill>
              <a:sysClr val="windowText" lastClr="000000"/>
            </a:solidFill>
            <a:effectLst/>
            <a:latin typeface="+mn-lt"/>
            <a:ea typeface="+mn-ea"/>
            <a:cs typeface="+mn-cs"/>
          </a:endParaRPr>
        </a:p>
      </xdr:txBody>
    </xdr:sp>
    <xdr:clientData/>
  </xdr:twoCellAnchor>
  <xdr:twoCellAnchor>
    <xdr:from>
      <xdr:col>7</xdr:col>
      <xdr:colOff>173690</xdr:colOff>
      <xdr:row>18</xdr:row>
      <xdr:rowOff>73400</xdr:rowOff>
    </xdr:from>
    <xdr:to>
      <xdr:col>10</xdr:col>
      <xdr:colOff>89647</xdr:colOff>
      <xdr:row>21</xdr:row>
      <xdr:rowOff>22412</xdr:rowOff>
    </xdr:to>
    <xdr:sp macro="" textlink="">
      <xdr:nvSpPr>
        <xdr:cNvPr id="62" name="吹き出し: 線 61">
          <a:extLst>
            <a:ext uri="{FF2B5EF4-FFF2-40B4-BE49-F238E27FC236}">
              <a16:creationId xmlns:a16="http://schemas.microsoft.com/office/drawing/2014/main" id="{59E5216F-EC03-460B-A903-58971A74CDA5}"/>
            </a:ext>
          </a:extLst>
        </xdr:cNvPr>
        <xdr:cNvSpPr/>
      </xdr:nvSpPr>
      <xdr:spPr>
        <a:xfrm>
          <a:off x="5080970" y="4150100"/>
          <a:ext cx="2019077" cy="623382"/>
        </a:xfrm>
        <a:prstGeom prst="borderCallout1">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050">
              <a:solidFill>
                <a:sysClr val="windowText" lastClr="000000"/>
              </a:solidFill>
              <a:effectLst/>
              <a:latin typeface="+mn-lt"/>
              <a:ea typeface="+mn-ea"/>
              <a:cs typeface="+mn-cs"/>
            </a:rPr>
            <a:t>画面を</a:t>
          </a:r>
          <a:r>
            <a:rPr kumimoji="1" lang="en-US" altLang="ja-JP" sz="1050">
              <a:solidFill>
                <a:sysClr val="windowText" lastClr="000000"/>
              </a:solidFill>
              <a:effectLst/>
              <a:latin typeface="+mn-lt"/>
              <a:ea typeface="+mn-ea"/>
              <a:cs typeface="+mn-cs"/>
            </a:rPr>
            <a:t>2</a:t>
          </a:r>
          <a:r>
            <a:rPr kumimoji="1" lang="ja-JP" altLang="en-US" sz="1050">
              <a:solidFill>
                <a:sysClr val="windowText" lastClr="000000"/>
              </a:solidFill>
              <a:effectLst/>
              <a:latin typeface="+mn-lt"/>
              <a:ea typeface="+mn-ea"/>
              <a:cs typeface="+mn-cs"/>
            </a:rPr>
            <a:t>つ立ち上げて実施</a:t>
          </a:r>
          <a:endParaRPr kumimoji="1" lang="ja-JP" altLang="en-US" sz="1050">
            <a:solidFill>
              <a:sysClr val="windowText" lastClr="000000"/>
            </a:solidFill>
          </a:endParaRPr>
        </a:p>
      </xdr:txBody>
    </xdr:sp>
    <xdr:clientData/>
  </xdr:twoCellAnchor>
  <xdr:twoCellAnchor>
    <xdr:from>
      <xdr:col>14</xdr:col>
      <xdr:colOff>270065</xdr:colOff>
      <xdr:row>31</xdr:row>
      <xdr:rowOff>44825</xdr:rowOff>
    </xdr:from>
    <xdr:to>
      <xdr:col>17</xdr:col>
      <xdr:colOff>99735</xdr:colOff>
      <xdr:row>33</xdr:row>
      <xdr:rowOff>114863</xdr:rowOff>
    </xdr:to>
    <xdr:sp macro="" textlink="">
      <xdr:nvSpPr>
        <xdr:cNvPr id="63" name="四角形: 角を丸くする 62">
          <a:extLst>
            <a:ext uri="{FF2B5EF4-FFF2-40B4-BE49-F238E27FC236}">
              <a16:creationId xmlns:a16="http://schemas.microsoft.com/office/drawing/2014/main" id="{2B6C6CDC-83F1-4AB1-BAEB-A7926B346DB3}"/>
            </a:ext>
          </a:extLst>
        </xdr:cNvPr>
        <xdr:cNvSpPr/>
      </xdr:nvSpPr>
      <xdr:spPr>
        <a:xfrm>
          <a:off x="10084625" y="7043795"/>
          <a:ext cx="1932790" cy="519618"/>
        </a:xfrm>
        <a:prstGeom prst="round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800" b="1">
              <a:solidFill>
                <a:srgbClr val="0070C0"/>
              </a:solidFill>
              <a:effectLst/>
              <a:latin typeface="+mn-lt"/>
              <a:ea typeface="+mn-ea"/>
              <a:cs typeface="+mn-cs"/>
            </a:rPr>
            <a:t>/api/v1/rscl3</a:t>
          </a:r>
        </a:p>
      </xdr:txBody>
    </xdr:sp>
    <xdr:clientData/>
  </xdr:twoCellAnchor>
  <xdr:twoCellAnchor>
    <xdr:from>
      <xdr:col>17</xdr:col>
      <xdr:colOff>677955</xdr:colOff>
      <xdr:row>28</xdr:row>
      <xdr:rowOff>39783</xdr:rowOff>
    </xdr:from>
    <xdr:to>
      <xdr:col>20</xdr:col>
      <xdr:colOff>89647</xdr:colOff>
      <xdr:row>31</xdr:row>
      <xdr:rowOff>11207</xdr:rowOff>
    </xdr:to>
    <xdr:sp macro="" textlink="">
      <xdr:nvSpPr>
        <xdr:cNvPr id="64" name="吹き出し: 線 63">
          <a:extLst>
            <a:ext uri="{FF2B5EF4-FFF2-40B4-BE49-F238E27FC236}">
              <a16:creationId xmlns:a16="http://schemas.microsoft.com/office/drawing/2014/main" id="{E6EA1CAE-82E9-4D4C-A3E7-5AEE86ACCC49}"/>
            </a:ext>
          </a:extLst>
        </xdr:cNvPr>
        <xdr:cNvSpPr/>
      </xdr:nvSpPr>
      <xdr:spPr>
        <a:xfrm>
          <a:off x="12595635" y="6364383"/>
          <a:ext cx="1514812" cy="645794"/>
        </a:xfrm>
        <a:prstGeom prst="borderCallout1">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050">
              <a:solidFill>
                <a:sysClr val="windowText" lastClr="000000"/>
              </a:solidFill>
              <a:effectLst/>
              <a:latin typeface="+mn-lt"/>
              <a:ea typeface="+mn-ea"/>
              <a:cs typeface="+mn-cs"/>
            </a:rPr>
            <a:t>サーバ側で</a:t>
          </a:r>
          <a:r>
            <a:rPr kumimoji="1" lang="en-US" altLang="ja-JP" sz="1050" b="1">
              <a:solidFill>
                <a:srgbClr val="FF0000"/>
              </a:solidFill>
              <a:effectLst/>
              <a:latin typeface="+mn-lt"/>
              <a:ea typeface="+mn-ea"/>
              <a:cs typeface="+mn-cs"/>
            </a:rPr>
            <a:t>6</a:t>
          </a:r>
          <a:r>
            <a:rPr kumimoji="1" lang="ja-JP" altLang="en-US" sz="1050" b="1">
              <a:solidFill>
                <a:srgbClr val="FF0000"/>
              </a:solidFill>
              <a:effectLst/>
              <a:latin typeface="+mn-lt"/>
              <a:ea typeface="+mn-ea"/>
              <a:cs typeface="+mn-cs"/>
            </a:rPr>
            <a:t>秒</a:t>
          </a:r>
          <a:r>
            <a:rPr kumimoji="1" lang="ja-JP" altLang="en-US" sz="1050">
              <a:solidFill>
                <a:sysClr val="windowText" lastClr="000000"/>
              </a:solidFill>
              <a:effectLst/>
              <a:latin typeface="+mn-lt"/>
              <a:ea typeface="+mn-ea"/>
              <a:cs typeface="+mn-cs"/>
            </a:rPr>
            <a:t>待機するようにする</a:t>
          </a:r>
          <a:endParaRPr kumimoji="1" lang="ja-JP" altLang="en-US" sz="1050">
            <a:solidFill>
              <a:sysClr val="windowText" lastClr="000000"/>
            </a:solidFill>
          </a:endParaRPr>
        </a:p>
      </xdr:txBody>
    </xdr:sp>
    <xdr:clientData/>
  </xdr:twoCellAnchor>
  <xdr:twoCellAnchor>
    <xdr:from>
      <xdr:col>3</xdr:col>
      <xdr:colOff>196102</xdr:colOff>
      <xdr:row>33</xdr:row>
      <xdr:rowOff>151842</xdr:rowOff>
    </xdr:from>
    <xdr:to>
      <xdr:col>6</xdr:col>
      <xdr:colOff>112058</xdr:colOff>
      <xdr:row>36</xdr:row>
      <xdr:rowOff>100853</xdr:rowOff>
    </xdr:to>
    <xdr:sp macro="" textlink="">
      <xdr:nvSpPr>
        <xdr:cNvPr id="65" name="吹き出し: 線 64">
          <a:extLst>
            <a:ext uri="{FF2B5EF4-FFF2-40B4-BE49-F238E27FC236}">
              <a16:creationId xmlns:a16="http://schemas.microsoft.com/office/drawing/2014/main" id="{4DCDF073-58C0-4B71-AAF0-6496409D3663}"/>
            </a:ext>
          </a:extLst>
        </xdr:cNvPr>
        <xdr:cNvSpPr/>
      </xdr:nvSpPr>
      <xdr:spPr>
        <a:xfrm>
          <a:off x="2299222" y="7600392"/>
          <a:ext cx="2019076" cy="623381"/>
        </a:xfrm>
        <a:prstGeom prst="borderCallout1">
          <a:avLst>
            <a:gd name="adj1" fmla="val 18750"/>
            <a:gd name="adj2" fmla="val -8333"/>
            <a:gd name="adj3" fmla="val 127898"/>
            <a:gd name="adj4" fmla="val -38903"/>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050">
              <a:solidFill>
                <a:sysClr val="windowText" lastClr="000000"/>
              </a:solidFill>
              <a:effectLst/>
              <a:latin typeface="+mn-lt"/>
              <a:ea typeface="+mn-ea"/>
              <a:cs typeface="+mn-cs"/>
            </a:rPr>
            <a:t>画面を</a:t>
          </a:r>
          <a:r>
            <a:rPr kumimoji="1" lang="en-US" altLang="ja-JP" sz="1050">
              <a:solidFill>
                <a:sysClr val="windowText" lastClr="000000"/>
              </a:solidFill>
              <a:effectLst/>
              <a:latin typeface="+mn-lt"/>
              <a:ea typeface="+mn-ea"/>
              <a:cs typeface="+mn-cs"/>
            </a:rPr>
            <a:t>3</a:t>
          </a:r>
          <a:r>
            <a:rPr kumimoji="1" lang="ja-JP" altLang="en-US" sz="1050">
              <a:solidFill>
                <a:sysClr val="windowText" lastClr="000000"/>
              </a:solidFill>
              <a:effectLst/>
              <a:latin typeface="+mn-lt"/>
              <a:ea typeface="+mn-ea"/>
              <a:cs typeface="+mn-cs"/>
            </a:rPr>
            <a:t>つ立ち上げて実施</a:t>
          </a:r>
          <a:endParaRPr kumimoji="1" lang="ja-JP" altLang="en-US" sz="1050">
            <a:solidFill>
              <a:sysClr val="windowText" lastClr="000000"/>
            </a:solidFill>
          </a:endParaRPr>
        </a:p>
      </xdr:txBody>
    </xdr:sp>
    <xdr:clientData/>
  </xdr:twoCellAnchor>
  <xdr:twoCellAnchor>
    <xdr:from>
      <xdr:col>6</xdr:col>
      <xdr:colOff>465042</xdr:colOff>
      <xdr:row>105</xdr:row>
      <xdr:rowOff>118223</xdr:rowOff>
    </xdr:from>
    <xdr:to>
      <xdr:col>9</xdr:col>
      <xdr:colOff>380999</xdr:colOff>
      <xdr:row>108</xdr:row>
      <xdr:rowOff>67235</xdr:rowOff>
    </xdr:to>
    <xdr:sp macro="" textlink="">
      <xdr:nvSpPr>
        <xdr:cNvPr id="66" name="吹き出し: 線 65">
          <a:extLst>
            <a:ext uri="{FF2B5EF4-FFF2-40B4-BE49-F238E27FC236}">
              <a16:creationId xmlns:a16="http://schemas.microsoft.com/office/drawing/2014/main" id="{C92BF7A3-401F-4CD8-98D9-8D00F124719E}"/>
            </a:ext>
            <a:ext uri="{147F2762-F138-4A5C-976F-8EAC2B608ADB}">
              <a16:predDERef xmlns:a16="http://schemas.microsoft.com/office/drawing/2014/main" pred="{AB427689-C603-52AF-8838-446E2530A51B}"/>
            </a:ext>
          </a:extLst>
        </xdr:cNvPr>
        <xdr:cNvSpPr/>
      </xdr:nvSpPr>
      <xdr:spPr>
        <a:xfrm>
          <a:off x="4671282" y="23751653"/>
          <a:ext cx="2019077" cy="623382"/>
        </a:xfrm>
        <a:prstGeom prst="borderCallout1">
          <a:avLst>
            <a:gd name="adj1" fmla="val 18750"/>
            <a:gd name="adj2" fmla="val -8333"/>
            <a:gd name="adj3" fmla="val 47487"/>
            <a:gd name="adj4" fmla="val -52008"/>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050">
              <a:solidFill>
                <a:sysClr val="windowText" lastClr="000000"/>
              </a:solidFill>
              <a:effectLst/>
              <a:latin typeface="+mn-lt"/>
              <a:ea typeface="+mn-ea"/>
              <a:cs typeface="+mn-cs"/>
            </a:rPr>
            <a:t>画面を</a:t>
          </a:r>
          <a:r>
            <a:rPr kumimoji="1" lang="en-US" altLang="ja-JP" sz="1050">
              <a:solidFill>
                <a:sysClr val="windowText" lastClr="000000"/>
              </a:solidFill>
              <a:effectLst/>
              <a:latin typeface="+mn-lt"/>
              <a:ea typeface="+mn-ea"/>
              <a:cs typeface="+mn-cs"/>
            </a:rPr>
            <a:t>3</a:t>
          </a:r>
          <a:r>
            <a:rPr kumimoji="1" lang="ja-JP" altLang="en-US" sz="1050">
              <a:solidFill>
                <a:sysClr val="windowText" lastClr="000000"/>
              </a:solidFill>
              <a:effectLst/>
              <a:latin typeface="+mn-lt"/>
              <a:ea typeface="+mn-ea"/>
              <a:cs typeface="+mn-cs"/>
            </a:rPr>
            <a:t>つ立ち上げて実施</a:t>
          </a:r>
          <a:endParaRPr kumimoji="1" lang="ja-JP" altLang="en-US" sz="1050">
            <a:solidFill>
              <a:sysClr val="windowText" lastClr="000000"/>
            </a:solidFill>
          </a:endParaRPr>
        </a:p>
      </xdr:txBody>
    </xdr:sp>
    <xdr:clientData/>
  </xdr:twoCellAnchor>
  <xdr:twoCellAnchor>
    <xdr:from>
      <xdr:col>17</xdr:col>
      <xdr:colOff>621926</xdr:colOff>
      <xdr:row>53</xdr:row>
      <xdr:rowOff>160806</xdr:rowOff>
    </xdr:from>
    <xdr:to>
      <xdr:col>20</xdr:col>
      <xdr:colOff>33618</xdr:colOff>
      <xdr:row>56</xdr:row>
      <xdr:rowOff>132229</xdr:rowOff>
    </xdr:to>
    <xdr:sp macro="" textlink="">
      <xdr:nvSpPr>
        <xdr:cNvPr id="37" name="吹き出し: 線 36">
          <a:extLst>
            <a:ext uri="{FF2B5EF4-FFF2-40B4-BE49-F238E27FC236}">
              <a16:creationId xmlns:a16="http://schemas.microsoft.com/office/drawing/2014/main" id="{4BF1C21A-04CC-C8BF-9BCA-1BFED63D2196}"/>
            </a:ext>
          </a:extLst>
        </xdr:cNvPr>
        <xdr:cNvSpPr/>
      </xdr:nvSpPr>
      <xdr:spPr>
        <a:xfrm>
          <a:off x="12280526" y="9247656"/>
          <a:ext cx="1469092" cy="485773"/>
        </a:xfrm>
        <a:prstGeom prst="borderCallout1">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050">
              <a:solidFill>
                <a:sysClr val="windowText" lastClr="000000"/>
              </a:solidFill>
              <a:effectLst/>
              <a:latin typeface="+mn-lt"/>
              <a:ea typeface="+mn-ea"/>
              <a:cs typeface="+mn-cs"/>
            </a:rPr>
            <a:t>サーバ側で</a:t>
          </a:r>
          <a:r>
            <a:rPr kumimoji="1" lang="en-US" altLang="ja-JP" sz="1050" b="1">
              <a:solidFill>
                <a:srgbClr val="FF0000"/>
              </a:solidFill>
              <a:effectLst/>
              <a:latin typeface="+mn-lt"/>
              <a:ea typeface="+mn-ea"/>
              <a:cs typeface="+mn-cs"/>
            </a:rPr>
            <a:t>6</a:t>
          </a:r>
          <a:r>
            <a:rPr kumimoji="1" lang="ja-JP" altLang="en-US" sz="1050" b="1">
              <a:solidFill>
                <a:srgbClr val="FF0000"/>
              </a:solidFill>
              <a:effectLst/>
              <a:latin typeface="+mn-lt"/>
              <a:ea typeface="+mn-ea"/>
              <a:cs typeface="+mn-cs"/>
            </a:rPr>
            <a:t>秒</a:t>
          </a:r>
          <a:r>
            <a:rPr kumimoji="1" lang="ja-JP" altLang="en-US" sz="1050">
              <a:solidFill>
                <a:sysClr val="windowText" lastClr="000000"/>
              </a:solidFill>
              <a:effectLst/>
              <a:latin typeface="+mn-lt"/>
              <a:ea typeface="+mn-ea"/>
              <a:cs typeface="+mn-cs"/>
            </a:rPr>
            <a:t>待機するようにする</a:t>
          </a:r>
          <a:endParaRPr kumimoji="1" lang="ja-JP" altLang="en-US" sz="1050">
            <a:solidFill>
              <a:sysClr val="windowText" lastClr="000000"/>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85"/>
  <sheetViews>
    <sheetView showGridLines="0" tabSelected="1" zoomScaleNormal="100" workbookViewId="0">
      <pane ySplit="4" topLeftCell="A5" activePane="bottomLeft" state="frozen"/>
      <selection activeCell="D22" sqref="D22"/>
      <selection pane="bottomLeft" activeCell="D1" sqref="D1"/>
    </sheetView>
  </sheetViews>
  <sheetFormatPr defaultRowHeight="13.2" x14ac:dyDescent="0.2"/>
  <cols>
    <col min="1" max="1" width="9.77734375" bestFit="1" customWidth="1"/>
    <col min="2" max="2" width="63.88671875" customWidth="1"/>
    <col min="3" max="3" width="13.6640625" customWidth="1"/>
    <col min="4" max="4" width="148.21875" customWidth="1"/>
  </cols>
  <sheetData>
    <row r="1" spans="1:4" x14ac:dyDescent="0.2">
      <c r="A1" s="1" t="s">
        <v>0</v>
      </c>
      <c r="B1" s="2" t="s">
        <v>27</v>
      </c>
      <c r="C1" s="24" t="s">
        <v>25</v>
      </c>
    </row>
    <row r="2" spans="1:4" x14ac:dyDescent="0.2">
      <c r="A2" s="3" t="s">
        <v>1</v>
      </c>
      <c r="B2" s="2" t="s">
        <v>26</v>
      </c>
      <c r="C2" s="2" cm="1">
        <f t="array" aca="1" ref="C2" ca="1">SUMPRODUCT(IF(($A$5:$A$65502&lt;&gt;"")*(LEFT($A$5:$A$65502,4)=$B$1), IFERROR(N(INDIRECT($A$5:$A$65502&amp;"!C2")),0), 0))</f>
        <v>80</v>
      </c>
    </row>
    <row r="4" spans="1:4" x14ac:dyDescent="0.2">
      <c r="A4" s="4" t="s">
        <v>2</v>
      </c>
      <c r="B4" s="4" t="s">
        <v>3</v>
      </c>
      <c r="C4" s="4" t="s">
        <v>4</v>
      </c>
      <c r="D4" s="4" t="s">
        <v>5</v>
      </c>
    </row>
    <row r="5" spans="1:4" x14ac:dyDescent="0.2">
      <c r="A5" s="20" t="str">
        <f>IF(B5="","",($B$1&amp;TEXT(IF(B5="","",COUNTA($B$5:B5)),"00")))</f>
        <v>RSCL01</v>
      </c>
      <c r="B5" s="18" t="s">
        <v>90</v>
      </c>
      <c r="C5" s="22" t="str">
        <f>IF(B5="",($B$1&amp;TEXT(IF(B5="",COUNTA($B$5:B5),1),"00")),A5)&amp;IF(B5&lt;&gt;"",TEXT(1,"00"),TEXT(IF(A5&lt;&gt;"",1,RIGHT(C4,2)+1),"00"))</f>
        <v>RSCL0101</v>
      </c>
      <c r="D5" s="5" t="s">
        <v>92</v>
      </c>
    </row>
    <row r="6" spans="1:4" x14ac:dyDescent="0.2">
      <c r="A6" s="20" t="str">
        <f>IF(B6="","",($B$1&amp;TEXT(IF(B6="","",COUNTA($B$5:B6)),"00")))</f>
        <v/>
      </c>
      <c r="B6" s="18"/>
      <c r="C6" s="22" t="str">
        <f>IF(B6="",($B$1&amp;TEXT(IF(B6="",COUNTA($B$5:B6),1),"00")),A6)&amp;IF(B6&lt;&gt;"",TEXT(1,"00"),TEXT(IF(A6&lt;&gt;"",1,RIGHT(C5,2)+1),"00"))</f>
        <v>RSCL0102</v>
      </c>
      <c r="D6" s="5" t="s">
        <v>91</v>
      </c>
    </row>
    <row r="7" spans="1:4" x14ac:dyDescent="0.2">
      <c r="A7" s="20" t="str">
        <f>IF(B7="","",($B$1&amp;TEXT(IF(B7="","",COUNTA($B$5:B7)),"00")))</f>
        <v>RSCL02</v>
      </c>
      <c r="B7" s="18" t="s">
        <v>93</v>
      </c>
      <c r="C7" s="22" t="str">
        <f>IF(B7="",($B$1&amp;TEXT(IF(B7="",COUNTA($B$5:B7),1),"00")),A7)&amp;IF(B7&lt;&gt;"",TEXT(1,"00"),TEXT(IF(A7&lt;&gt;"",1,RIGHT(C6,2)+1),"00"))</f>
        <v>RSCL0201</v>
      </c>
      <c r="D7" s="5" t="s">
        <v>30</v>
      </c>
    </row>
    <row r="8" spans="1:4" x14ac:dyDescent="0.2">
      <c r="A8" s="21"/>
      <c r="B8" s="18"/>
      <c r="C8" s="22" t="str">
        <f>IF(B8="",($B$1&amp;TEXT(IF(B8="",COUNTA($B$5:B8),1),"00")),A8)&amp;IF(B8&lt;&gt;"",TEXT(1,"00"),TEXT(IF(A8&lt;&gt;"",1,RIGHT(C7,2)+1),"00"))</f>
        <v>RSCL0202</v>
      </c>
      <c r="D8" s="5" t="s">
        <v>54</v>
      </c>
    </row>
    <row r="9" spans="1:4" x14ac:dyDescent="0.2">
      <c r="A9" s="21"/>
      <c r="B9" s="18"/>
      <c r="C9" s="22" t="str">
        <f>IF(B9="",($B$1&amp;TEXT(IF(B9="",COUNTA($B$5:B9),1),"00")),A9)&amp;IF(B9&lt;&gt;"",TEXT(1,"00"),TEXT(IF(A9&lt;&gt;"",1,RIGHT(C8,2)+1),"00"))</f>
        <v>RSCL0203</v>
      </c>
      <c r="D9" s="5" t="s">
        <v>31</v>
      </c>
    </row>
    <row r="10" spans="1:4" x14ac:dyDescent="0.2">
      <c r="A10" s="21"/>
      <c r="B10" s="18"/>
      <c r="C10" s="22" t="str">
        <f>IF(B10="",($B$1&amp;TEXT(IF(B10="",COUNTA($B$5:B10),1),"00")),A10)&amp;IF(B10&lt;&gt;"",TEXT(1,"00"),TEXT(IF(A10&lt;&gt;"",1,RIGHT(C9,2)+1),"00"))</f>
        <v>RSCL0204</v>
      </c>
      <c r="D10" s="5" t="s">
        <v>57</v>
      </c>
    </row>
    <row r="11" spans="1:4" x14ac:dyDescent="0.2">
      <c r="A11" s="21"/>
      <c r="B11" s="18"/>
      <c r="C11" s="22" t="str">
        <f>IF(B11="",($B$1&amp;TEXT(IF(B11="",COUNTA($B$5:B11),1),"00")),A11)&amp;IF(B11&lt;&gt;"",TEXT(1,"00"),TEXT(IF(A11&lt;&gt;"",1,RIGHT(C10,2)+1),"00"))</f>
        <v>RSCL0205</v>
      </c>
      <c r="D11" s="5" t="s">
        <v>68</v>
      </c>
    </row>
    <row r="12" spans="1:4" x14ac:dyDescent="0.2">
      <c r="A12" s="21"/>
      <c r="B12" s="18"/>
      <c r="C12" s="22" t="str">
        <f>IF(B12="",($B$1&amp;TEXT(IF(B12="",COUNTA($B$5:B12),1),"00")),A12)&amp;IF(B12&lt;&gt;"",TEXT(1,"00"),TEXT(IF(A12&lt;&gt;"",1,RIGHT(C11,2)+1),"00"))</f>
        <v>RSCL0206</v>
      </c>
      <c r="D12" s="5" t="s">
        <v>34</v>
      </c>
    </row>
    <row r="13" spans="1:4" x14ac:dyDescent="0.2">
      <c r="A13" s="21"/>
      <c r="B13" s="18"/>
      <c r="C13" s="22" t="str">
        <f>IF(B13="",($B$1&amp;TEXT(IF(B13="",COUNTA($B$5:B13),1),"00")),A13)&amp;IF(B13&lt;&gt;"",TEXT(1,"00"),TEXT(IF(A13&lt;&gt;"",1,RIGHT(C12,2)+1),"00"))</f>
        <v>RSCL0207</v>
      </c>
      <c r="D13" s="5" t="s">
        <v>94</v>
      </c>
    </row>
    <row r="14" spans="1:4" x14ac:dyDescent="0.2">
      <c r="A14" s="21"/>
      <c r="B14" s="18"/>
      <c r="C14" s="22" t="str">
        <f>IF(B14="",($B$1&amp;TEXT(IF(B14="",COUNTA($B$5:B14),1),"00")),A14)&amp;IF(B14&lt;&gt;"",TEXT(1,"00"),TEXT(IF(A14&lt;&gt;"",1,RIGHT(C13,2)+1),"00"))</f>
        <v>RSCL0208</v>
      </c>
      <c r="D14" s="5" t="s">
        <v>52</v>
      </c>
    </row>
    <row r="15" spans="1:4" x14ac:dyDescent="0.2">
      <c r="A15" s="20" t="str">
        <f>IF(B15="","",($B$1&amp;TEXT(IF(B15="","",COUNTA($B$5:B15)),"00")))</f>
        <v>RSCL03</v>
      </c>
      <c r="B15" s="18" t="s">
        <v>95</v>
      </c>
      <c r="C15" s="22" t="str">
        <f>IF(B15="",($B$1&amp;TEXT(IF(B15="",COUNTA($B$5:B15),1),"00")),A15)&amp;IF(B15&lt;&gt;"",TEXT(1,"00"),TEXT(IF(A15&lt;&gt;"",1,RIGHT(C14,2)+1),"00"))</f>
        <v>RSCL0301</v>
      </c>
      <c r="D15" s="5" t="s">
        <v>96</v>
      </c>
    </row>
    <row r="16" spans="1:4" x14ac:dyDescent="0.2">
      <c r="A16" s="21"/>
      <c r="B16" s="18"/>
      <c r="C16" s="22" t="str">
        <f>IF(B16="",($B$1&amp;TEXT(IF(B16="",COUNTA($B$5:B16),1),"00")),A16)&amp;IF(B16&lt;&gt;"",TEXT(1,"00"),TEXT(IF(A16&lt;&gt;"",1,RIGHT(C15,2)+1),"00"))</f>
        <v>RSCL0302</v>
      </c>
      <c r="D16" s="5" t="s">
        <v>97</v>
      </c>
    </row>
    <row r="17" spans="1:6" x14ac:dyDescent="0.2">
      <c r="A17" s="20" t="str">
        <f>IF(B17="","",($B$1&amp;TEXT(IF(B17="","",COUNTA($B$5:B17)),"00")))</f>
        <v>RSCL04</v>
      </c>
      <c r="B17" s="18" t="s">
        <v>98</v>
      </c>
      <c r="C17" s="22" t="str">
        <f>IF(B17="",($B$1&amp;TEXT(IF(B17="",COUNTA($B$5:B17),1),"00")),A17)&amp;IF(B17&lt;&gt;"",TEXT(1,"00"),TEXT(IF(A17&lt;&gt;"",1,RIGHT(C16,2)+1),"00"))</f>
        <v>RSCL0401</v>
      </c>
      <c r="D17" s="5" t="s">
        <v>99</v>
      </c>
    </row>
    <row r="18" spans="1:6" x14ac:dyDescent="0.2">
      <c r="A18" s="20" t="str">
        <f>IF(B18="","",($B$1&amp;TEXT(IF(B18="","",COUNTA($B$5:B18)),"00")))</f>
        <v/>
      </c>
      <c r="B18" s="18"/>
      <c r="C18" s="22" t="str">
        <f>IF(B18="",($B$1&amp;TEXT(IF(B18="",COUNTA($B$5:B18),1),"00")),A18)&amp;IF(B18&lt;&gt;"",TEXT(1,"00"),TEXT(IF(A18&lt;&gt;"",1,RIGHT(C17,2)+1),"00"))</f>
        <v>RSCL0402</v>
      </c>
      <c r="D18" s="5" t="s">
        <v>100</v>
      </c>
    </row>
    <row r="19" spans="1:6" x14ac:dyDescent="0.2">
      <c r="A19" s="21"/>
      <c r="B19" s="18"/>
      <c r="C19" s="22" t="str">
        <f>IF(B19="",($B$1&amp;TEXT(IF(B19="",COUNTA($B$5:B19),1),"00")),A19)&amp;IF(B19&lt;&gt;"",TEXT(1,"00"),TEXT(IF(A19&lt;&gt;"",1,RIGHT(C18,2)+1),"00"))</f>
        <v>RSCL0403</v>
      </c>
      <c r="D19" s="5" t="s">
        <v>101</v>
      </c>
    </row>
    <row r="20" spans="1:6" x14ac:dyDescent="0.2">
      <c r="A20" s="21"/>
      <c r="B20" s="18"/>
      <c r="C20" s="22" t="str">
        <f>IF(B20="",($B$1&amp;TEXT(IF(B20="",COUNTA($B$5:B20),1),"00")),A20)&amp;IF(B20&lt;&gt;"",TEXT(1,"00"),TEXT(IF(A20&lt;&gt;"",1,RIGHT(C19,2)+1),"00"))</f>
        <v>RSCL0404</v>
      </c>
      <c r="D20" s="5" t="s">
        <v>102</v>
      </c>
    </row>
    <row r="21" spans="1:6" x14ac:dyDescent="0.2">
      <c r="A21" s="21"/>
      <c r="B21" s="18"/>
      <c r="C21" s="22" t="str">
        <f>IF(B21="",($B$1&amp;TEXT(IF(B21="",COUNTA($B$5:B21),1),"00")),A21)&amp;IF(B21&lt;&gt;"",TEXT(1,"00"),TEXT(IF(A21&lt;&gt;"",1,RIGHT(C20,2)+1),"00"))</f>
        <v>RSCL0405</v>
      </c>
      <c r="D21" s="5" t="s">
        <v>103</v>
      </c>
    </row>
    <row r="22" spans="1:6" x14ac:dyDescent="0.2">
      <c r="A22" s="21"/>
      <c r="B22" s="18"/>
      <c r="C22" s="22" t="str">
        <f>IF(B22="",($B$1&amp;TEXT(IF(B22="",COUNTA($B$5:B22),1),"00")),A22)&amp;IF(B22&lt;&gt;"",TEXT(1,"00"),TEXT(IF(A22&lt;&gt;"",1,RIGHT(C21,2)+1),"00"))</f>
        <v>RSCL0406</v>
      </c>
      <c r="D22" s="5" t="s">
        <v>104</v>
      </c>
    </row>
    <row r="23" spans="1:6" x14ac:dyDescent="0.2">
      <c r="A23" s="21"/>
      <c r="B23" s="18"/>
      <c r="C23" s="22" t="str">
        <f>IF(B23="",($B$1&amp;TEXT(IF(B23="",COUNTA($B$5:B23),1),"00")),A23)&amp;IF(B23&lt;&gt;"",TEXT(1,"00"),TEXT(IF(A23&lt;&gt;"",1,RIGHT(C22,2)+1),"00"))</f>
        <v>RSCL0407</v>
      </c>
      <c r="D23" s="5" t="s">
        <v>105</v>
      </c>
      <c r="F23" s="26"/>
    </row>
    <row r="24" spans="1:6" x14ac:dyDescent="0.2">
      <c r="A24" s="20" t="str">
        <f>IF(B24="","",($B$1&amp;TEXT(IF(B24="","",COUNTA($B$5:B24)),"00")))</f>
        <v>RSCL05</v>
      </c>
      <c r="B24" s="18" t="s">
        <v>106</v>
      </c>
      <c r="C24" s="22" t="str">
        <f>IF(B24="",($B$1&amp;TEXT(IF(B24="",COUNTA($B$5:B24),1),"00")),A24)&amp;IF(B24&lt;&gt;"",TEXT(1,"00"),TEXT(IF(A24&lt;&gt;"",1,RIGHT(C23,2)+1),"00"))</f>
        <v>RSCL0501</v>
      </c>
      <c r="D24" s="5" t="s">
        <v>107</v>
      </c>
      <c r="F24" s="27"/>
    </row>
    <row r="25" spans="1:6" x14ac:dyDescent="0.2">
      <c r="A25" s="21"/>
      <c r="B25" s="18"/>
      <c r="C25" s="22" t="str">
        <f>IF(B25="",($B$1&amp;TEXT(IF(B25="",COUNTA($B$5:B25),1),"00")),A25)&amp;IF(B25&lt;&gt;"",TEXT(1,"00"),TEXT(IF(A25&lt;&gt;"",1,RIGHT(C24,2)+1),"00"))</f>
        <v>RSCL0502</v>
      </c>
      <c r="D25" s="5" t="s">
        <v>108</v>
      </c>
      <c r="F25" s="27"/>
    </row>
    <row r="26" spans="1:6" x14ac:dyDescent="0.2">
      <c r="A26" s="21"/>
      <c r="B26" s="18"/>
      <c r="C26" s="22" t="str">
        <f>IF(B26="",($B$1&amp;TEXT(IF(B26="",COUNTA($B$5:B26),1),"00")),A26)&amp;IF(B26&lt;&gt;"",TEXT(1,"00"),TEXT(IF(A26&lt;&gt;"",1,RIGHT(C25,2)+1),"00"))</f>
        <v>RSCL0503</v>
      </c>
      <c r="D26" s="5" t="s">
        <v>109</v>
      </c>
      <c r="F26" s="27"/>
    </row>
    <row r="27" spans="1:6" x14ac:dyDescent="0.2">
      <c r="A27" s="21"/>
      <c r="B27" s="18"/>
      <c r="C27" s="22" t="str">
        <f>IF(B27="",($B$1&amp;TEXT(IF(B27="",COUNTA($B$5:B27),1),"00")),A27)&amp;IF(B27&lt;&gt;"",TEXT(1,"00"),TEXT(IF(A27&lt;&gt;"",1,RIGHT(C26,2)+1),"00"))</f>
        <v>RSCL0504</v>
      </c>
      <c r="D27" s="5" t="s">
        <v>110</v>
      </c>
      <c r="F27" s="27"/>
    </row>
    <row r="28" spans="1:6" x14ac:dyDescent="0.2">
      <c r="A28" s="21"/>
      <c r="B28" s="18"/>
      <c r="C28" s="22" t="str">
        <f>IF(B28="",($B$1&amp;TEXT(IF(B28="",COUNTA($B$5:B28),1),"00")),A28)&amp;IF(B28&lt;&gt;"",TEXT(1,"00"),TEXT(IF(A28&lt;&gt;"",1,RIGHT(C27,2)+1),"00"))</f>
        <v>RSCL0505</v>
      </c>
      <c r="D28" s="5" t="s">
        <v>114</v>
      </c>
      <c r="F28" s="27"/>
    </row>
    <row r="29" spans="1:6" x14ac:dyDescent="0.2">
      <c r="A29" s="20" t="str">
        <f>IF(B29="","",($B$1&amp;TEXT(IF(B29="","",COUNTA($B$5:B29)),"00")))</f>
        <v/>
      </c>
      <c r="B29" s="18"/>
      <c r="C29" s="22" t="str">
        <f>IF(B29="",($B$1&amp;TEXT(IF(B29="",COUNTA($B$5:B29),1),"00")),A29)&amp;IF(B29&lt;&gt;"",TEXT(1,"00"),TEXT(IF(A29&lt;&gt;"",1,RIGHT(C28,2)+1),"00"))</f>
        <v>RSCL0506</v>
      </c>
      <c r="D29" s="5" t="s">
        <v>115</v>
      </c>
      <c r="F29" s="27"/>
    </row>
    <row r="30" spans="1:6" x14ac:dyDescent="0.2">
      <c r="A30" s="20" t="str">
        <f>IF(B30="","",($B$1&amp;TEXT(IF(B30="","",COUNTA($B$5:B30)),"00")))</f>
        <v/>
      </c>
      <c r="B30" s="18"/>
      <c r="C30" s="22" t="str">
        <f>IF(B30="",($B$1&amp;TEXT(IF(B30="",COUNTA($B$5:B30),1),"00")),A30)&amp;IF(B30&lt;&gt;"",TEXT(1,"00"),TEXT(IF(A30&lt;&gt;"",1,RIGHT(C29,2)+1),"00"))</f>
        <v>RSCL0507</v>
      </c>
      <c r="D30" s="5" t="s">
        <v>111</v>
      </c>
    </row>
    <row r="31" spans="1:6" x14ac:dyDescent="0.2">
      <c r="A31" s="21"/>
      <c r="B31" s="18"/>
      <c r="C31" s="22" t="str">
        <f>IF(B31="",($B$1&amp;TEXT(IF(B31="",COUNTA($B$5:B31),1),"00")),A31)&amp;IF(B31&lt;&gt;"",TEXT(1,"00"),TEXT(IF(A31&lt;&gt;"",1,RIGHT(C30,2)+1),"00"))</f>
        <v>RSCL0508</v>
      </c>
      <c r="D31" s="5" t="s">
        <v>112</v>
      </c>
    </row>
    <row r="32" spans="1:6" x14ac:dyDescent="0.2">
      <c r="A32" s="20" t="str">
        <f>IF(B32="","",($B$1&amp;TEXT(IF(B32="","",COUNTA($B$5:B32)),"00")))</f>
        <v/>
      </c>
      <c r="B32" s="18"/>
      <c r="C32" s="22" t="str">
        <f>IF(B32="",($B$1&amp;TEXT(IF(B32="",COUNTA($B$5:B32),1),"00")),A32)&amp;IF(B32&lt;&gt;"",TEXT(1,"00"),TEXT(IF(A32&lt;&gt;"",1,RIGHT(C31,2)+1),"00"))</f>
        <v>RSCL0509</v>
      </c>
      <c r="D32" s="5" t="s">
        <v>113</v>
      </c>
    </row>
    <row r="33" spans="1:6" x14ac:dyDescent="0.2">
      <c r="A33" s="23" t="str">
        <f>IF(B33="","",($B$1&amp;TEXT(IF(B33="","",COUNTA($B$5:B33)),"00")))</f>
        <v/>
      </c>
      <c r="B33" s="18"/>
      <c r="C33" s="22" t="str">
        <f>IF(B33="",($B$1&amp;TEXT(IF(B33="",COUNTA($B$5:B33),1),"00")),A33)&amp;IF(B33&lt;&gt;"",TEXT(1,"00"),TEXT(IF(A33&lt;&gt;"",1,RIGHT(C32,2)+1),"00"))</f>
        <v>RSCL0510</v>
      </c>
      <c r="D33" s="5" t="s">
        <v>462</v>
      </c>
    </row>
    <row r="34" spans="1:6" x14ac:dyDescent="0.2">
      <c r="A34" s="20" t="str">
        <f>IF(B34="","",($B$1&amp;TEXT(IF(B34="","",COUNTA($B$5:B34)),"00")))</f>
        <v/>
      </c>
      <c r="B34" s="18"/>
      <c r="C34" s="22" t="str">
        <f>IF(B34="",($B$1&amp;TEXT(IF(B34="",COUNTA($B$5:B34),1),"00")),A34)&amp;IF(B34&lt;&gt;"",TEXT(1,"00"),TEXT(IF(A34&lt;&gt;"",1,RIGHT(C33,2)+1),"00"))</f>
        <v>RSCL0511</v>
      </c>
      <c r="D34" s="5" t="s">
        <v>458</v>
      </c>
    </row>
    <row r="35" spans="1:6" x14ac:dyDescent="0.2">
      <c r="A35" s="21"/>
      <c r="B35" s="18"/>
      <c r="C35" s="22" t="str">
        <f>IF(B35="",($B$1&amp;TEXT(IF(B35="",COUNTA($B$5:B35),1),"00")),A35)&amp;IF(B35&lt;&gt;"",TEXT(1,"00"),TEXT(IF(A35&lt;&gt;"",1,RIGHT(C34,2)+1),"00"))</f>
        <v>RSCL0512</v>
      </c>
      <c r="D35" s="5" t="s">
        <v>459</v>
      </c>
    </row>
    <row r="36" spans="1:6" x14ac:dyDescent="0.2">
      <c r="A36" s="20" t="str">
        <f>IF(B36="","",($B$1&amp;TEXT(IF(B36="","",COUNTA($B$5:B36)),"00")))</f>
        <v/>
      </c>
      <c r="B36" s="18"/>
      <c r="C36" s="22" t="str">
        <f>IF(B36="",($B$1&amp;TEXT(IF(B36="",COUNTA($B$5:B36),1),"00")),A36)&amp;IF(B36&lt;&gt;"",TEXT(1,"00"),TEXT(IF(A36&lt;&gt;"",1,RIGHT(C35,2)+1),"00"))</f>
        <v>RSCL0513</v>
      </c>
      <c r="D36" s="5" t="s">
        <v>460</v>
      </c>
    </row>
    <row r="37" spans="1:6" x14ac:dyDescent="0.2">
      <c r="A37" s="23" t="str">
        <f>IF(B37="","",($B$1&amp;TEXT(IF(B37="","",COUNTA($B$5:B37)),"00")))</f>
        <v/>
      </c>
      <c r="B37" s="18"/>
      <c r="C37" s="22" t="str">
        <f>IF(B37="",($B$1&amp;TEXT(IF(B37="",COUNTA($B$5:B37),1),"00")),A37)&amp;IF(B37&lt;&gt;"",TEXT(1,"00"),TEXT(IF(A37&lt;&gt;"",1,RIGHT(C36,2)+1),"00"))</f>
        <v>RSCL0514</v>
      </c>
      <c r="D37" s="5" t="s">
        <v>461</v>
      </c>
    </row>
    <row r="38" spans="1:6" x14ac:dyDescent="0.2">
      <c r="A38" s="23"/>
      <c r="B38" s="18"/>
      <c r="C38" s="22" t="str">
        <f>IF(B38="",($B$1&amp;TEXT(IF(B38="",COUNTA($B$5:B38),1),"00")),A38)&amp;IF(B38&lt;&gt;"",TEXT(1,"00"),TEXT(IF(A38&lt;&gt;"",1,RIGHT(C37,2)+1),"00"))</f>
        <v>RSCL0515</v>
      </c>
      <c r="D38" s="5" t="s">
        <v>116</v>
      </c>
    </row>
    <row r="39" spans="1:6" x14ac:dyDescent="0.2">
      <c r="A39" s="23"/>
      <c r="B39" s="18"/>
      <c r="C39" s="22" t="str">
        <f>IF(B39="",($B$1&amp;TEXT(IF(B39="",COUNTA($B$5:B39),1),"00")),A39)&amp;IF(B39&lt;&gt;"",TEXT(1,"00"),TEXT(IF(A39&lt;&gt;"",1,RIGHT(C38,2)+1),"00"))</f>
        <v>RSCL0516</v>
      </c>
      <c r="D39" s="5" t="s">
        <v>117</v>
      </c>
    </row>
    <row r="40" spans="1:6" x14ac:dyDescent="0.2">
      <c r="A40" s="23" t="str">
        <f>IF(B40="","",($B$1&amp;TEXT(IF(B40="","",COUNTA($B$5:B40)),"00")))</f>
        <v>RSCL06</v>
      </c>
      <c r="B40" s="18" t="s">
        <v>119</v>
      </c>
      <c r="C40" s="22" t="str">
        <f>IF(B40="",($B$1&amp;TEXT(IF(B40="",COUNTA($B$5:B40),1),"00")),A40)&amp;IF(B40&lt;&gt;"",TEXT(1,"00"),TEXT(IF(A40&lt;&gt;"",1,RIGHT(C39,2)+1),"00"))</f>
        <v>RSCL0601</v>
      </c>
      <c r="D40" s="5" t="s">
        <v>118</v>
      </c>
    </row>
    <row r="41" spans="1:6" x14ac:dyDescent="0.2">
      <c r="A41" s="23" t="str">
        <f>IF(B41="","",($B$1&amp;TEXT(IF(B41="","",COUNTA($B$5:B41)),"00")))</f>
        <v>RSCL07</v>
      </c>
      <c r="B41" s="18" t="s">
        <v>120</v>
      </c>
      <c r="C41" s="22" t="str">
        <f>IF(B41="",($B$1&amp;TEXT(IF(B41="",COUNTA($B$5:B41),1),"00")),A41)&amp;IF(B41&lt;&gt;"",TEXT(1,"00"),TEXT(IF(A41&lt;&gt;"",1,RIGHT(C40,2)+1),"00"))</f>
        <v>RSCL0701</v>
      </c>
      <c r="D41" s="5" t="s">
        <v>121</v>
      </c>
    </row>
    <row r="42" spans="1:6" x14ac:dyDescent="0.2">
      <c r="A42" s="20" t="str">
        <f>IF(B42="","",($B$1&amp;TEXT(IF(B42="","",COUNTA($B$5:B42)),"00")))</f>
        <v/>
      </c>
      <c r="B42" s="18"/>
      <c r="C42" s="22" t="str">
        <f>IF(B42="",($B$1&amp;TEXT(IF(B42="",COUNTA($B$5:B42),1),"00")),A42)&amp;IF(B42&lt;&gt;"",TEXT(1,"00"),TEXT(IF(A42&lt;&gt;"",1,RIGHT(C41,2)+1),"00"))</f>
        <v>RSCL0702</v>
      </c>
      <c r="D42" s="5" t="s">
        <v>122</v>
      </c>
      <c r="F42" s="27"/>
    </row>
    <row r="43" spans="1:6" x14ac:dyDescent="0.2">
      <c r="A43" s="23" t="str">
        <f>IF(B43="","",($B$1&amp;TEXT(IF(B43="","",COUNTA($B$5:B43)),"00")))</f>
        <v/>
      </c>
      <c r="B43" s="18"/>
      <c r="C43" s="22" t="str">
        <f>IF(B43="",($B$1&amp;TEXT(IF(B43="",COUNTA($B$5:B43),1),"00")),A43)&amp;IF(B43&lt;&gt;"",TEXT(1,"00"),TEXT(IF(A43&lt;&gt;"",1,RIGHT(C42,2)+1),"00"))</f>
        <v>RSCL0703</v>
      </c>
      <c r="D43" s="5" t="s">
        <v>123</v>
      </c>
      <c r="F43" s="27"/>
    </row>
    <row r="44" spans="1:6" x14ac:dyDescent="0.2">
      <c r="A44" s="23" t="str">
        <f>IF(B44="","",($B$1&amp;TEXT(IF(B44="","",COUNTA($B$5:B44)),"00")))</f>
        <v>RSCL08</v>
      </c>
      <c r="B44" s="18" t="s">
        <v>137</v>
      </c>
      <c r="C44" s="22" t="str">
        <f>IF(B44="",($B$1&amp;TEXT(IF(B44="",COUNTA($B$5:B44),1),"00")),A44)&amp;IF(B44&lt;&gt;"",TEXT(1,"00"),TEXT(IF(A44&lt;&gt;"",1,RIGHT(C43,2)+1),"00"))</f>
        <v>RSCL0801</v>
      </c>
      <c r="D44" s="5" t="s">
        <v>124</v>
      </c>
      <c r="F44" s="27"/>
    </row>
    <row r="45" spans="1:6" x14ac:dyDescent="0.2">
      <c r="A45" s="23" t="str">
        <f>IF(B45="","",($B$1&amp;TEXT(IF(B45="","",COUNTA($B$5:B45)),"00")))</f>
        <v/>
      </c>
      <c r="B45" s="18"/>
      <c r="C45" s="22" t="str">
        <f>IF(B45="",($B$1&amp;TEXT(IF(B45="",COUNTA($B$5:B45),1),"00")),A45)&amp;IF(B45&lt;&gt;"",TEXT(1,"00"),TEXT(IF(A45&lt;&gt;"",1,RIGHT(C44,2)+1),"00"))</f>
        <v>RSCL0802</v>
      </c>
      <c r="D45" s="5" t="s">
        <v>125</v>
      </c>
      <c r="F45" s="27"/>
    </row>
    <row r="46" spans="1:6" x14ac:dyDescent="0.2">
      <c r="A46" s="23" t="str">
        <f>IF(B46="","",($B$1&amp;TEXT(IF(B46="","",COUNTA($B$5:B46)),"00")))</f>
        <v>RSCL09</v>
      </c>
      <c r="B46" s="18" t="s">
        <v>354</v>
      </c>
      <c r="C46" s="22" t="str">
        <f>IF(B46="",($B$1&amp;TEXT(IF(B46="",COUNTA($B$5:B46),1),"00")),A46)&amp;IF(B46&lt;&gt;"",TEXT(1,"00"),TEXT(IF(A46&lt;&gt;"",1,RIGHT(C45,2)+1),"00"))</f>
        <v>RSCL0901</v>
      </c>
      <c r="D46" s="5" t="s">
        <v>126</v>
      </c>
      <c r="F46" s="27"/>
    </row>
    <row r="47" spans="1:6" x14ac:dyDescent="0.2">
      <c r="A47" s="23" t="str">
        <f>IF(B47="","",($B$1&amp;TEXT(IF(B47="","",COUNTA($B$5:B47)),"00")))</f>
        <v>RSCL10</v>
      </c>
      <c r="B47" s="18" t="s">
        <v>355</v>
      </c>
      <c r="C47" s="22" t="str">
        <f>IF(B47="",($B$1&amp;TEXT(IF(B47="",COUNTA($B$5:B47),1),"00")),A47)&amp;IF(B47&lt;&gt;"",TEXT(1,"00"),TEXT(IF(A47&lt;&gt;"",1,RIGHT(C46,2)+1),"00"))</f>
        <v>RSCL1001</v>
      </c>
      <c r="D47" s="5" t="s">
        <v>127</v>
      </c>
      <c r="F47" s="27"/>
    </row>
    <row r="48" spans="1:6" x14ac:dyDescent="0.2">
      <c r="A48" s="23"/>
      <c r="B48" s="18"/>
      <c r="C48" s="22" t="str">
        <f>IF(B48="",($B$1&amp;TEXT(IF(B48="",COUNTA($B$5:B48),1),"00")),A48)&amp;IF(B48&lt;&gt;"",TEXT(1,"00"),TEXT(IF(A48&lt;&gt;"",1,RIGHT(C47,2)+1),"00"))</f>
        <v>RSCL1002</v>
      </c>
      <c r="D48" s="5" t="s">
        <v>128</v>
      </c>
      <c r="F48" s="27"/>
    </row>
    <row r="49" spans="1:6" x14ac:dyDescent="0.2">
      <c r="A49" s="23"/>
      <c r="B49" s="18"/>
      <c r="C49" s="22" t="str">
        <f>IF(B49="",($B$1&amp;TEXT(IF(B49="",COUNTA($B$5:B49),1),"00")),A49)&amp;IF(B49&lt;&gt;"",TEXT(1,"00"),TEXT(IF(A49&lt;&gt;"",1,RIGHT(C48,2)+1),"00"))</f>
        <v>RSCL1003</v>
      </c>
      <c r="D49" s="5" t="s">
        <v>129</v>
      </c>
      <c r="F49" s="27"/>
    </row>
    <row r="50" spans="1:6" x14ac:dyDescent="0.2">
      <c r="A50" s="23"/>
      <c r="B50" s="18"/>
      <c r="C50" s="22" t="str">
        <f>IF(B50="",($B$1&amp;TEXT(IF(B50="",COUNTA($B$5:B50),1),"00")),A50)&amp;IF(B50&lt;&gt;"",TEXT(1,"00"),TEXT(IF(A50&lt;&gt;"",1,RIGHT(C49,2)+1),"00"))</f>
        <v>RSCL1004</v>
      </c>
      <c r="D50" s="5" t="s">
        <v>334</v>
      </c>
      <c r="F50" s="27"/>
    </row>
    <row r="51" spans="1:6" x14ac:dyDescent="0.2">
      <c r="A51" s="23"/>
      <c r="B51" s="18"/>
      <c r="C51" s="22" t="str">
        <f>IF(B51="",($B$1&amp;TEXT(IF(B51="",COUNTA($B$5:B51),1),"00")),A51)&amp;IF(B51&lt;&gt;"",TEXT(1,"00"),TEXT(IF(A51&lt;&gt;"",1,RIGHT(C50,2)+1),"00"))</f>
        <v>RSCL1005</v>
      </c>
      <c r="D51" s="5" t="s">
        <v>336</v>
      </c>
      <c r="F51" s="27"/>
    </row>
    <row r="52" spans="1:6" x14ac:dyDescent="0.2">
      <c r="A52" s="23" t="str">
        <f>IF(B52="","",($B$1&amp;TEXT(IF(B52="","",COUNTA($B$5:B52)),"00")))</f>
        <v/>
      </c>
      <c r="B52" s="18"/>
      <c r="C52" s="22" t="str">
        <f>IF(B52="",($B$1&amp;TEXT(IF(B52="",COUNTA($B$5:B52),1),"00")),A52)&amp;IF(B52&lt;&gt;"",TEXT(1,"00"),TEXT(IF(A52&lt;&gt;"",1,RIGHT(C51,2)+1),"00"))</f>
        <v>RSCL1006</v>
      </c>
      <c r="D52" s="5" t="s">
        <v>335</v>
      </c>
      <c r="F52" s="27"/>
    </row>
    <row r="53" spans="1:6" x14ac:dyDescent="0.2">
      <c r="A53" s="23" t="str">
        <f>IF(B53="","",($B$1&amp;TEXT(IF(B53="","",COUNTA($B$5:B53)),"00")))</f>
        <v>RSCL11</v>
      </c>
      <c r="B53" s="18" t="s">
        <v>138</v>
      </c>
      <c r="C53" s="22" t="str">
        <f>IF(B53="",($B$1&amp;TEXT(IF(B53="",COUNTA($B$5:B53),1),"00")),A53)&amp;IF(B53&lt;&gt;"",TEXT(1,"00"),TEXT(IF(A53&lt;&gt;"",1,RIGHT(C52,2)+1),"00"))</f>
        <v>RSCL1101</v>
      </c>
      <c r="D53" s="5" t="s">
        <v>130</v>
      </c>
      <c r="F53" s="27"/>
    </row>
    <row r="54" spans="1:6" x14ac:dyDescent="0.2">
      <c r="A54" s="23" t="str">
        <f>IF(B54="","",($B$1&amp;TEXT(IF(B54="","",COUNTA($B$5:B54)),"00")))</f>
        <v/>
      </c>
      <c r="B54" s="18"/>
      <c r="C54" s="22" t="str">
        <f>IF(B54="",($B$1&amp;TEXT(IF(B54="",COUNTA($B$5:B54),1),"00")),A54)&amp;IF(B54&lt;&gt;"",TEXT(1,"00"),TEXT(IF(A54&lt;&gt;"",1,RIGHT(C53,2)+1),"00"))</f>
        <v>RSCL1102</v>
      </c>
      <c r="D54" s="5" t="s">
        <v>131</v>
      </c>
      <c r="F54" s="27"/>
    </row>
    <row r="55" spans="1:6" x14ac:dyDescent="0.2">
      <c r="A55" s="23" t="str">
        <f>IF(B55="","",($B$1&amp;TEXT(IF(B55="","",COUNTA($B$5:B55)),"00")))</f>
        <v>RSCL12</v>
      </c>
      <c r="B55" s="18" t="s">
        <v>139</v>
      </c>
      <c r="C55" s="22" t="str">
        <f>IF(B55="",($B$1&amp;TEXT(IF(B55="",COUNTA($B$5:B55),1),"00")),A55)&amp;IF(B55&lt;&gt;"",TEXT(1,"00"),TEXT(IF(A55&lt;&gt;"",1,RIGHT(C54,2)+1),"00"))</f>
        <v>RSCL1201</v>
      </c>
      <c r="D55" s="5" t="s">
        <v>132</v>
      </c>
      <c r="F55" s="27"/>
    </row>
    <row r="56" spans="1:6" x14ac:dyDescent="0.2">
      <c r="A56" s="23" t="str">
        <f>IF(B56="","",($B$1&amp;TEXT(IF(B56="","",COUNTA($B$5:B56)),"00")))</f>
        <v/>
      </c>
      <c r="B56" s="18"/>
      <c r="C56" s="22" t="str">
        <f>IF(B56="",($B$1&amp;TEXT(IF(B56="",COUNTA($B$5:B56),1),"00")),A56)&amp;IF(B56&lt;&gt;"",TEXT(1,"00"),TEXT(IF(A56&lt;&gt;"",1,RIGHT(C55,2)+1),"00"))</f>
        <v>RSCL1202</v>
      </c>
      <c r="D56" s="5" t="s">
        <v>133</v>
      </c>
      <c r="F56" s="27"/>
    </row>
    <row r="57" spans="1:6" x14ac:dyDescent="0.2">
      <c r="A57" s="23"/>
      <c r="B57" s="18"/>
      <c r="C57" s="22" t="str">
        <f>IF(B57="",($B$1&amp;TEXT(IF(B57="",COUNTA($B$5:B57),1),"00")),A57)&amp;IF(B57&lt;&gt;"",TEXT(1,"00"),TEXT(IF(A57&lt;&gt;"",1,RIGHT(C56,2)+1),"00"))</f>
        <v>RSCL1203</v>
      </c>
      <c r="D57" s="5" t="s">
        <v>134</v>
      </c>
      <c r="F57" s="27"/>
    </row>
    <row r="58" spans="1:6" x14ac:dyDescent="0.2">
      <c r="A58" s="23" t="str">
        <f>IF(B58="","",($B$1&amp;TEXT(IF(B58="","",COUNTA($B$5:B58)),"00")))</f>
        <v>RSCL13</v>
      </c>
      <c r="B58" s="18" t="s">
        <v>140</v>
      </c>
      <c r="C58" s="22" t="str">
        <f>IF(B58="",($B$1&amp;TEXT(IF(B58="",COUNTA($B$5:B58),1),"00")),A58)&amp;IF(B58&lt;&gt;"",TEXT(1,"00"),TEXT(IF(A58&lt;&gt;"",1,RIGHT(C57,2)+1),"00"))</f>
        <v>RSCL1301</v>
      </c>
      <c r="D58" s="5" t="s">
        <v>135</v>
      </c>
      <c r="F58" s="27"/>
    </row>
    <row r="59" spans="1:6" x14ac:dyDescent="0.2">
      <c r="A59" s="23" t="str">
        <f>IF(B59="","",($B$1&amp;TEXT(IF(B59="","",COUNTA($B$5:B59)),"00")))</f>
        <v>RSCL14</v>
      </c>
      <c r="B59" s="18" t="s">
        <v>141</v>
      </c>
      <c r="C59" s="22" t="str">
        <f>IF(B59="",($B$1&amp;TEXT(IF(B59="",COUNTA($B$5:B59),1),"00")),A59)&amp;IF(B59&lt;&gt;"",TEXT(1,"00"),TEXT(IF(A59&lt;&gt;"",1,RIGHT(C58,2)+1),"00"))</f>
        <v>RSCL1401</v>
      </c>
      <c r="D59" s="5" t="s">
        <v>136</v>
      </c>
      <c r="F59" s="27"/>
    </row>
    <row r="60" spans="1:6" x14ac:dyDescent="0.2">
      <c r="A60" s="23"/>
      <c r="B60" s="18"/>
      <c r="C60" s="22" t="str">
        <f>IF(B60="",($B$1&amp;TEXT(IF(B60="",COUNTA($B$5:B60),1),"00")),A60)&amp;IF(B60&lt;&gt;"",TEXT(1,"00"),TEXT(IF(A60&lt;&gt;"",1,RIGHT(C59,2)+1),"00"))</f>
        <v>RSCL1402</v>
      </c>
      <c r="D60" s="5" t="s">
        <v>75</v>
      </c>
      <c r="F60" s="27"/>
    </row>
    <row r="61" spans="1:6" x14ac:dyDescent="0.2">
      <c r="A61" s="23"/>
      <c r="B61" s="18"/>
      <c r="C61" s="22" t="str">
        <f>IF(B61="",($B$1&amp;TEXT(IF(B61="",COUNTA($B$5:B61),1),"00")),A61)&amp;IF(B61&lt;&gt;"",TEXT(1,"00"),TEXT(IF(A61&lt;&gt;"",1,RIGHT(C60,2)+1),"00"))</f>
        <v>RSCL1403</v>
      </c>
      <c r="D61" s="5" t="s">
        <v>83</v>
      </c>
      <c r="F61" s="27"/>
    </row>
    <row r="62" spans="1:6" x14ac:dyDescent="0.2">
      <c r="A62" s="23"/>
      <c r="B62" s="18"/>
      <c r="C62" s="22" t="str">
        <f>IF(B62="",($B$1&amp;TEXT(IF(B62="",COUNTA($B$5:B62),1),"00")),A62)&amp;IF(B62&lt;&gt;"",TEXT(1,"00"),TEXT(IF(A62&lt;&gt;"",1,RIGHT(C61,2)+1),"00"))</f>
        <v>RSCL1404</v>
      </c>
      <c r="D62" s="5" t="s">
        <v>76</v>
      </c>
      <c r="F62" s="27"/>
    </row>
    <row r="63" spans="1:6" x14ac:dyDescent="0.2">
      <c r="A63" s="23"/>
      <c r="B63" s="18"/>
      <c r="C63" s="22" t="str">
        <f>IF(B63="",($B$1&amp;TEXT(IF(B63="",COUNTA($B$5:B63),1),"00")),A63)&amp;IF(B63&lt;&gt;"",TEXT(1,"00"),TEXT(IF(A63&lt;&gt;"",1,RIGHT(C62,2)+1),"00"))</f>
        <v>RSCL1405</v>
      </c>
      <c r="D63" s="5" t="s">
        <v>77</v>
      </c>
      <c r="F63" s="27"/>
    </row>
    <row r="64" spans="1:6" x14ac:dyDescent="0.2">
      <c r="A64" s="23"/>
      <c r="B64" s="18"/>
      <c r="C64" s="22" t="str">
        <f>IF(B64="",($B$1&amp;TEXT(IF(B64="",COUNTA($B$5:B64),1),"00")),A64)&amp;IF(B64&lt;&gt;"",TEXT(1,"00"),TEXT(IF(A64&lt;&gt;"",1,RIGHT(C63,2)+1),"00"))</f>
        <v>RSCL1406</v>
      </c>
      <c r="D64" s="5" t="s">
        <v>451</v>
      </c>
      <c r="F64" s="27"/>
    </row>
    <row r="65" spans="1:6" x14ac:dyDescent="0.2">
      <c r="A65" s="23" t="str">
        <f>IF(B65="","",($B$1&amp;TEXT(IF(B65="","",COUNTA($B$5:B65)),"00")))</f>
        <v>RSCL15</v>
      </c>
      <c r="B65" s="18" t="s">
        <v>154</v>
      </c>
      <c r="C65" s="22"/>
      <c r="D65" s="5"/>
      <c r="F65" s="27"/>
    </row>
    <row r="66" spans="1:6" x14ac:dyDescent="0.2">
      <c r="A66" s="23" t="str">
        <f>IF(B66="","",($B$1&amp;TEXT(IF(B66="","",COUNTA($B$5:B66)),"00")))</f>
        <v>RSCL16</v>
      </c>
      <c r="B66" s="18" t="s">
        <v>142</v>
      </c>
      <c r="C66" s="22" t="str">
        <f>IF(B66="",($B$1&amp;TEXT(IF(B66="",COUNTA($B$5:B66),1),"00")),A66)&amp;IF(B66&lt;&gt;"",TEXT(1,"00"),TEXT(IF(A66&lt;&gt;"",1,RIGHT(C64,2)+1),"00"))</f>
        <v>RSCL1601</v>
      </c>
      <c r="D66" s="5" t="s">
        <v>143</v>
      </c>
      <c r="F66" s="27"/>
    </row>
    <row r="67" spans="1:6" x14ac:dyDescent="0.2">
      <c r="A67" s="23"/>
      <c r="B67" s="18"/>
      <c r="C67" s="22" t="str">
        <f>IF(B67="",($B$1&amp;TEXT(IF(B67="",COUNTA($B$5:B67),1),"00")),A67)&amp;IF(B67&lt;&gt;"",TEXT(1,"00"),TEXT(IF(A67&lt;&gt;"",1,RIGHT(C66,2)+1),"00"))</f>
        <v>RSCL1602</v>
      </c>
      <c r="D67" s="5" t="s">
        <v>144</v>
      </c>
      <c r="F67" s="27"/>
    </row>
    <row r="68" spans="1:6" x14ac:dyDescent="0.2">
      <c r="A68" s="23" t="str">
        <f>IF(B68="","",($B$1&amp;TEXT(IF(B68="","",COUNTA($B$5:B68)),"00")))</f>
        <v>RSCL17</v>
      </c>
      <c r="B68" s="18" t="s">
        <v>145</v>
      </c>
      <c r="C68" s="22" t="str">
        <f>IF(B68="",($B$1&amp;TEXT(IF(B68="",COUNTA($B$5:B68),1),"00")),A68)&amp;IF(B68&lt;&gt;"",TEXT(1,"00"),TEXT(IF(A68&lt;&gt;"",1,RIGHT(C67,2)+1),"00"))</f>
        <v>RSCL1701</v>
      </c>
      <c r="D68" s="5" t="s">
        <v>146</v>
      </c>
      <c r="F68" s="27"/>
    </row>
    <row r="69" spans="1:6" x14ac:dyDescent="0.2">
      <c r="A69" s="23"/>
      <c r="B69" s="18"/>
      <c r="C69" s="22" t="str">
        <f>IF(B69="",($B$1&amp;TEXT(IF(B69="",COUNTA($B$5:B69),1),"00")),A69)&amp;IF(B69&lt;&gt;"",TEXT(1,"00"),TEXT(IF(A69&lt;&gt;"",1,RIGHT(C68,2)+1),"00"))</f>
        <v>RSCL1702</v>
      </c>
      <c r="D69" s="5" t="s">
        <v>453</v>
      </c>
      <c r="F69" s="27"/>
    </row>
    <row r="70" spans="1:6" x14ac:dyDescent="0.2">
      <c r="A70" s="23" t="str">
        <f>IF(B70="","",($B$1&amp;TEXT(IF(B70="","",COUNTA($B$5:B70)),"00")))</f>
        <v>RSCL18</v>
      </c>
      <c r="B70" s="18" t="s">
        <v>147</v>
      </c>
      <c r="C70" s="22" t="str">
        <f>IF(B70="",($B$1&amp;TEXT(IF(B70="",COUNTA($B$5:B70),1),"00")),A70)&amp;IF(B70&lt;&gt;"",TEXT(1,"00"),TEXT(IF(A70&lt;&gt;"",1,RIGHT(C69,2)+1),"00"))</f>
        <v>RSCL1801</v>
      </c>
      <c r="D70" s="5" t="s">
        <v>149</v>
      </c>
      <c r="F70" s="27"/>
    </row>
    <row r="71" spans="1:6" x14ac:dyDescent="0.2">
      <c r="A71" s="23"/>
      <c r="B71" s="18"/>
      <c r="C71" s="22" t="str">
        <f>IF(B71="",($B$1&amp;TEXT(IF(B71="",COUNTA($B$5:B71),1),"00")),A71)&amp;IF(B71&lt;&gt;"",TEXT(1,"00"),TEXT(IF(A71&lt;&gt;"",1,RIGHT(C70,2)+1),"00"))</f>
        <v>RSCL1802</v>
      </c>
      <c r="D71" s="5" t="s">
        <v>150</v>
      </c>
      <c r="F71" s="27"/>
    </row>
    <row r="72" spans="1:6" x14ac:dyDescent="0.2">
      <c r="A72" s="23" t="str">
        <f>IF(B72="","",($B$1&amp;TEXT(IF(B72="","",COUNTA($B$5:B72)),"00")))</f>
        <v>RSCL19</v>
      </c>
      <c r="B72" s="18" t="s">
        <v>148</v>
      </c>
      <c r="C72" s="22" t="str">
        <f>IF(B72="",($B$1&amp;TEXT(IF(B72="",COUNTA($B$5:B72),1),"00")),A72)&amp;IF(B72&lt;&gt;"",TEXT(1,"00"),TEXT(IF(A72&lt;&gt;"",1,RIGHT(C71,2)+1),"00"))</f>
        <v>RSCL1901</v>
      </c>
      <c r="D72" s="5" t="s">
        <v>151</v>
      </c>
      <c r="F72" s="27"/>
    </row>
    <row r="73" spans="1:6" x14ac:dyDescent="0.2">
      <c r="A73" s="23"/>
      <c r="B73" s="18"/>
      <c r="C73" s="22" t="str">
        <f>IF(B73="",($B$1&amp;TEXT(IF(B73="",COUNTA($B$5:B73),1),"00")),A73)&amp;IF(B73&lt;&gt;"",TEXT(1,"00"),TEXT(IF(A73&lt;&gt;"",1,RIGHT(C72,2)+1),"00"))</f>
        <v>RSCL1902</v>
      </c>
      <c r="D73" s="5" t="s">
        <v>153</v>
      </c>
      <c r="F73" s="27"/>
    </row>
    <row r="74" spans="1:6" x14ac:dyDescent="0.2">
      <c r="A74" s="35"/>
      <c r="B74" s="19"/>
      <c r="C74" s="22" t="str">
        <f>IF(B74="",($B$1&amp;TEXT(IF(B74="",COUNTA($B$5:B74),1),"00")),A74)&amp;IF(B74&lt;&gt;"",TEXT(1,"00"),TEXT(IF(A74&lt;&gt;"",1,RIGHT(C73,2)+1),"00"))</f>
        <v>RSCL1903</v>
      </c>
      <c r="D74" s="5" t="s">
        <v>152</v>
      </c>
      <c r="F74" s="27"/>
    </row>
    <row r="75" spans="1:6" x14ac:dyDescent="0.2">
      <c r="A75" s="36" t="s">
        <v>448</v>
      </c>
      <c r="B75" s="34" t="s">
        <v>158</v>
      </c>
      <c r="C75" s="36" t="s">
        <v>307</v>
      </c>
      <c r="D75" s="5" t="s">
        <v>155</v>
      </c>
    </row>
    <row r="76" spans="1:6" x14ac:dyDescent="0.2">
      <c r="A76" s="36" t="str">
        <f>IF(B76="","",($B$1&amp;TEXT(IF(B76="","",COUNTA($B$5:B76)),"00")))</f>
        <v/>
      </c>
      <c r="C76" s="36" t="s">
        <v>308</v>
      </c>
      <c r="D76" s="5" t="s">
        <v>156</v>
      </c>
    </row>
    <row r="77" spans="1:6" x14ac:dyDescent="0.2">
      <c r="A77" s="36" t="s">
        <v>449</v>
      </c>
      <c r="B77" s="34" t="s">
        <v>157</v>
      </c>
      <c r="C77" s="36" t="s">
        <v>320</v>
      </c>
      <c r="D77" s="5" t="s">
        <v>159</v>
      </c>
    </row>
    <row r="78" spans="1:6" x14ac:dyDescent="0.2">
      <c r="A78" s="36" t="str">
        <f>IF(B78="","",($B$1&amp;TEXT(IF(B78="","",COUNTA($B$5:B78)),"00")))</f>
        <v/>
      </c>
      <c r="C78" s="36" t="s">
        <v>321</v>
      </c>
      <c r="D78" s="5" t="s">
        <v>160</v>
      </c>
    </row>
    <row r="79" spans="1:6" x14ac:dyDescent="0.2">
      <c r="A79" s="36" t="str">
        <f>IF(B79="","",($B$1&amp;TEXT(IF(B79="","",COUNTA($B$5:B79)),"00")))</f>
        <v/>
      </c>
      <c r="C79" s="36" t="s">
        <v>322</v>
      </c>
      <c r="D79" s="5" t="s">
        <v>161</v>
      </c>
    </row>
    <row r="80" spans="1:6" x14ac:dyDescent="0.2">
      <c r="A80" s="36" t="str">
        <f>IF(B80="","",($B$1&amp;TEXT(IF(B80="","",COUNTA($B$5:B80)),"00")))</f>
        <v/>
      </c>
      <c r="C80" s="36" t="s">
        <v>323</v>
      </c>
      <c r="D80" s="5" t="s">
        <v>162</v>
      </c>
    </row>
    <row r="81" spans="1:4" x14ac:dyDescent="0.2">
      <c r="A81" s="36" t="str">
        <f>IF(B81="","",($B$1&amp;TEXT(IF(B81="","",COUNTA($B$5:B81)),"00")))</f>
        <v/>
      </c>
      <c r="C81" s="36" t="s">
        <v>324</v>
      </c>
      <c r="D81" s="5" t="s">
        <v>163</v>
      </c>
    </row>
    <row r="82" spans="1:4" x14ac:dyDescent="0.2">
      <c r="A82" s="36" t="str">
        <f>IF(B82="","",($B$1&amp;TEXT(IF(B82="","",COUNTA($B$5:B82)),"00")))</f>
        <v/>
      </c>
      <c r="C82" s="36" t="s">
        <v>325</v>
      </c>
      <c r="D82" s="5" t="s">
        <v>164</v>
      </c>
    </row>
    <row r="83" spans="1:4" x14ac:dyDescent="0.2">
      <c r="A83" s="36" t="str">
        <f>IF(B83="","",($B$1&amp;TEXT(IF(B83="","",COUNTA($B$5:B83)),"00")))</f>
        <v/>
      </c>
      <c r="C83" s="36" t="s">
        <v>326</v>
      </c>
      <c r="D83" s="5" t="s">
        <v>165</v>
      </c>
    </row>
    <row r="84" spans="1:4" x14ac:dyDescent="0.2">
      <c r="A84" s="36" t="s">
        <v>450</v>
      </c>
      <c r="B84" s="18" t="s">
        <v>166</v>
      </c>
      <c r="C84" s="36" t="s">
        <v>329</v>
      </c>
      <c r="D84" s="5" t="s">
        <v>167</v>
      </c>
    </row>
    <row r="85" spans="1:4" x14ac:dyDescent="0.2">
      <c r="A85" s="37" t="str">
        <f>IF(B85="","",($B$1&amp;TEXT(IF(B85="","",COUNTA($B$5:B85)),"00")))</f>
        <v/>
      </c>
      <c r="B85" s="38"/>
      <c r="C85" s="41" t="s">
        <v>330</v>
      </c>
      <c r="D85" s="5" t="s">
        <v>168</v>
      </c>
    </row>
  </sheetData>
  <phoneticPr fontId="2"/>
  <conditionalFormatting sqref="A75:A85">
    <cfRule type="expression" dxfId="30" priority="20">
      <formula>A75&lt;&gt;""</formula>
    </cfRule>
  </conditionalFormatting>
  <conditionalFormatting sqref="A5:B33 A38:B74">
    <cfRule type="expression" dxfId="29" priority="2">
      <formula>A5&lt;&gt;""</formula>
    </cfRule>
  </conditionalFormatting>
  <conditionalFormatting sqref="B84">
    <cfRule type="expression" dxfId="28" priority="4">
      <formula>B84&lt;&gt;""</formula>
    </cfRule>
  </conditionalFormatting>
  <conditionalFormatting sqref="C75:C85">
    <cfRule type="expression" dxfId="27" priority="3">
      <formula>C75&lt;&gt;""</formula>
    </cfRule>
  </conditionalFormatting>
  <conditionalFormatting sqref="A34:B37">
    <cfRule type="expression" dxfId="26" priority="1">
      <formula>A34&lt;&gt;""</formula>
    </cfRule>
  </conditionalFormatting>
  <pageMargins left="0.39370078740157483" right="0.39370078740157483" top="0.59055118110236227" bottom="0.59055118110236227" header="0.31496062992125984" footer="0.31496062992125984"/>
  <pageSetup paperSize="9"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0"/>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5.109375" customWidth="1"/>
    <col min="7" max="7" width="29.6640625" customWidth="1"/>
    <col min="8" max="8" width="45.109375"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COUNTA($D$9:$D$65483)</f>
        <v>2</v>
      </c>
      <c r="D2" s="16" t="str">
        <f>大中項目!B1</f>
        <v>RSCL</v>
      </c>
      <c r="E2" s="16" t="str" cm="1">
        <f t="array" aca="1" ref="E2" ca="1">MID(CELL("filename", A1), FIND("]", CELL("filename", A1)) + 1, 255)</f>
        <v>RSCL01</v>
      </c>
      <c r="F2" s="9"/>
      <c r="G2" s="9"/>
      <c r="H2" s="8"/>
    </row>
    <row r="3" spans="1:9" x14ac:dyDescent="0.2">
      <c r="A3" s="46"/>
      <c r="B3" s="47"/>
      <c r="C3" s="49"/>
      <c r="D3" s="16" t="str">
        <f>大中項目!B2</f>
        <v>RESTクライアント</v>
      </c>
      <c r="E3" s="39" t="str">
        <f ca="1">INDEX(大中項目!B:B, MATCH(E2, 大中項目!A:A, 0))</f>
        <v>リクエストボディのバッファリング設定（RestTemplate）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92.4" x14ac:dyDescent="0.2">
      <c r="A9" s="11" t="s">
        <v>28</v>
      </c>
      <c r="B9" s="15">
        <f ca="1">IF(A9&lt;&gt;"",1,INDIRECT(ADDRESS(ROW(B9)-1,COLUMN(B9),4))+1)</f>
        <v>1</v>
      </c>
      <c r="C9" s="40" t="s">
        <v>24</v>
      </c>
      <c r="D9" s="13" t="s">
        <v>169</v>
      </c>
      <c r="E9" s="13" t="s">
        <v>345</v>
      </c>
      <c r="F9" s="13" t="s">
        <v>59</v>
      </c>
      <c r="G9" s="13" t="s">
        <v>171</v>
      </c>
      <c r="H9" s="13" t="s">
        <v>280</v>
      </c>
      <c r="I9" s="14" t="s">
        <v>74</v>
      </c>
    </row>
    <row r="10" spans="1:9" ht="92.4" x14ac:dyDescent="0.2">
      <c r="A10" s="25" t="s">
        <v>29</v>
      </c>
      <c r="B10" s="17">
        <f t="shared" ref="B10" ca="1" si="0">IF(A10&lt;&gt;"",1,INDIRECT(ADDRESS(ROW(B10)-1,COLUMN(B10),4))+1)</f>
        <v>1</v>
      </c>
      <c r="C10" s="12" t="s">
        <v>24</v>
      </c>
      <c r="D10" s="13" t="s">
        <v>170</v>
      </c>
      <c r="E10" s="13" t="s">
        <v>346</v>
      </c>
      <c r="F10" s="13" t="s">
        <v>59</v>
      </c>
      <c r="G10" s="13" t="s">
        <v>445</v>
      </c>
      <c r="H10" s="13" t="s">
        <v>444</v>
      </c>
      <c r="I10" s="14" t="s">
        <v>74</v>
      </c>
    </row>
  </sheetData>
  <mergeCells count="5">
    <mergeCell ref="A1:B1"/>
    <mergeCell ref="A2:B3"/>
    <mergeCell ref="C2:C3"/>
    <mergeCell ref="A5:I5"/>
    <mergeCell ref="A6:I6"/>
  </mergeCells>
  <phoneticPr fontId="2"/>
  <conditionalFormatting sqref="A10:B10">
    <cfRule type="expression" dxfId="25" priority="50">
      <formula>A10&lt;&gt;""</formula>
    </cfRule>
  </conditionalFormatting>
  <conditionalFormatting sqref="B9:B10">
    <cfRule type="expression" dxfId="24" priority="1">
      <formula>B9&lt;&gt;""</formula>
    </cfRule>
  </conditionalFormatting>
  <dataValidations count="2">
    <dataValidation type="list" allowBlank="1" showInputMessage="1" showErrorMessage="1" sqref="C9:C10" xr:uid="{00000000-0002-0000-0200-000000000000}">
      <formula1>"正常,クライアントエラー,サーバーエラー"</formula1>
    </dataValidation>
    <dataValidation type="list" allowBlank="1" showInputMessage="1" showErrorMessage="1" sqref="I9:I10" xr:uid="{CEC3F776-ABB0-4974-B955-33F97765F97A}">
      <formula1>"Selenium:○,Seleniumu:△,Selenium:×,JUnit:○,JUnit:△,Junit:×,手動実行,机上"</formula1>
    </dataValidation>
  </dataValidations>
  <hyperlinks>
    <hyperlink ref="A2" location="大中項目!A1" display="目次へ" xr:uid="{00000000-0004-0000-02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6"/>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8.6640625" customWidth="1"/>
    <col min="7" max="7" width="26.33203125" bestFit="1" customWidth="1"/>
    <col min="8" max="8" width="45.33203125"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COUNTA($D$9:$D$65491)</f>
        <v>8</v>
      </c>
      <c r="D2" s="16" t="str">
        <f>大中項目!B1</f>
        <v>RSCL</v>
      </c>
      <c r="E2" s="16" t="str" cm="1">
        <f t="array" aca="1" ref="E2" ca="1">MID(CELL("filename", A1), FIND("]", CELL("filename", A1)) + 1, 255)</f>
        <v>RSCL02</v>
      </c>
      <c r="F2" s="9"/>
      <c r="G2" s="9"/>
      <c r="H2" s="8"/>
    </row>
    <row r="3" spans="1:9" x14ac:dyDescent="0.2">
      <c r="A3" s="46"/>
      <c r="B3" s="47"/>
      <c r="C3" s="49"/>
      <c r="D3" s="16" t="str">
        <f>大中項目!B2</f>
        <v>RESTクライアント</v>
      </c>
      <c r="E3" s="39" t="str">
        <f ca="1">INDEX(大中項目!B:B, MATCH(E2, 大中項目!A:A, 0))</f>
        <v>各種HttpMessageConverterの確認（RestTemplate）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53" customHeight="1" x14ac:dyDescent="0.2">
      <c r="A9" s="25" t="s">
        <v>53</v>
      </c>
      <c r="B9" s="17">
        <f ca="1">IF(A9&lt;&gt;"",1,INDIRECT(ADDRESS(ROW(B9)-1,COLUMN(B9),4))+1)</f>
        <v>1</v>
      </c>
      <c r="C9" s="12" t="s">
        <v>24</v>
      </c>
      <c r="D9" s="13" t="s">
        <v>62</v>
      </c>
      <c r="E9" s="13" t="s">
        <v>361</v>
      </c>
      <c r="F9" s="13" t="s">
        <v>187</v>
      </c>
      <c r="G9" s="13" t="s">
        <v>172</v>
      </c>
      <c r="H9" s="13" t="s">
        <v>387</v>
      </c>
      <c r="I9" s="14" t="s">
        <v>74</v>
      </c>
    </row>
    <row r="10" spans="1:9" ht="155.4" customHeight="1" x14ac:dyDescent="0.2">
      <c r="A10" s="25" t="s">
        <v>33</v>
      </c>
      <c r="B10" s="17">
        <f t="shared" ref="B10:B16" ca="1" si="0">IF(A10&lt;&gt;"",1,INDIRECT(ADDRESS(ROW(B10)-1,COLUMN(B10),4))+1)</f>
        <v>1</v>
      </c>
      <c r="C10" s="12" t="s">
        <v>24</v>
      </c>
      <c r="D10" s="13" t="s">
        <v>63</v>
      </c>
      <c r="E10" s="13" t="s">
        <v>362</v>
      </c>
      <c r="F10" s="13" t="s">
        <v>188</v>
      </c>
      <c r="G10" s="13" t="s">
        <v>173</v>
      </c>
      <c r="H10" s="13" t="s">
        <v>388</v>
      </c>
      <c r="I10" s="14" t="s">
        <v>74</v>
      </c>
    </row>
    <row r="11" spans="1:9" ht="135" customHeight="1" x14ac:dyDescent="0.2">
      <c r="A11" s="25" t="s">
        <v>55</v>
      </c>
      <c r="B11" s="17">
        <f t="shared" ca="1" si="0"/>
        <v>1</v>
      </c>
      <c r="C11" s="12" t="s">
        <v>24</v>
      </c>
      <c r="D11" s="13" t="s">
        <v>64</v>
      </c>
      <c r="E11" s="13" t="s">
        <v>363</v>
      </c>
      <c r="F11" s="13" t="s">
        <v>189</v>
      </c>
      <c r="G11" s="13" t="s">
        <v>174</v>
      </c>
      <c r="H11" s="13" t="s">
        <v>389</v>
      </c>
      <c r="I11" s="14" t="s">
        <v>74</v>
      </c>
    </row>
    <row r="12" spans="1:9" ht="154.19999999999999" customHeight="1" x14ac:dyDescent="0.2">
      <c r="A12" s="25" t="s">
        <v>56</v>
      </c>
      <c r="B12" s="17">
        <f t="shared" ca="1" si="0"/>
        <v>1</v>
      </c>
      <c r="C12" s="12" t="s">
        <v>24</v>
      </c>
      <c r="D12" s="13" t="s">
        <v>65</v>
      </c>
      <c r="E12" s="13" t="s">
        <v>364</v>
      </c>
      <c r="F12" s="13" t="s">
        <v>190</v>
      </c>
      <c r="G12" s="13" t="s">
        <v>175</v>
      </c>
      <c r="H12" s="13" t="s">
        <v>390</v>
      </c>
      <c r="I12" s="14" t="s">
        <v>74</v>
      </c>
    </row>
    <row r="13" spans="1:9" ht="151.19999999999999" customHeight="1" x14ac:dyDescent="0.2">
      <c r="A13" s="25" t="s">
        <v>58</v>
      </c>
      <c r="B13" s="17">
        <f t="shared" ca="1" si="0"/>
        <v>1</v>
      </c>
      <c r="C13" s="12" t="s">
        <v>24</v>
      </c>
      <c r="D13" s="13" t="s">
        <v>66</v>
      </c>
      <c r="E13" s="13" t="s">
        <v>365</v>
      </c>
      <c r="F13" s="13" t="s">
        <v>191</v>
      </c>
      <c r="G13" s="13" t="s">
        <v>176</v>
      </c>
      <c r="H13" s="13" t="s">
        <v>391</v>
      </c>
      <c r="I13" s="14" t="s">
        <v>74</v>
      </c>
    </row>
    <row r="14" spans="1:9" s="33" customFormat="1" ht="105.6" x14ac:dyDescent="0.2">
      <c r="A14" s="29" t="s">
        <v>32</v>
      </c>
      <c r="B14" s="17">
        <f t="shared" ca="1" si="0"/>
        <v>1</v>
      </c>
      <c r="C14" s="30" t="s">
        <v>61</v>
      </c>
      <c r="D14" s="31" t="s">
        <v>89</v>
      </c>
      <c r="E14" s="31" t="s">
        <v>366</v>
      </c>
      <c r="F14" s="13" t="s">
        <v>192</v>
      </c>
      <c r="G14" s="13" t="s">
        <v>177</v>
      </c>
      <c r="H14" s="31" t="s">
        <v>281</v>
      </c>
      <c r="I14" s="32" t="s">
        <v>74</v>
      </c>
    </row>
    <row r="15" spans="1:9" ht="152.4" customHeight="1" x14ac:dyDescent="0.2">
      <c r="A15" s="25" t="s">
        <v>179</v>
      </c>
      <c r="B15" s="17">
        <f t="shared" ca="1" si="0"/>
        <v>1</v>
      </c>
      <c r="C15" s="12" t="s">
        <v>24</v>
      </c>
      <c r="D15" s="13" t="s">
        <v>178</v>
      </c>
      <c r="E15" s="13" t="s">
        <v>367</v>
      </c>
      <c r="F15" s="13" t="s">
        <v>193</v>
      </c>
      <c r="G15" s="13" t="s">
        <v>180</v>
      </c>
      <c r="H15" s="13" t="s">
        <v>392</v>
      </c>
      <c r="I15" s="14" t="s">
        <v>74</v>
      </c>
    </row>
    <row r="16" spans="1:9" ht="152.4" customHeight="1" x14ac:dyDescent="0.2">
      <c r="A16" s="25" t="s">
        <v>181</v>
      </c>
      <c r="B16" s="17">
        <f t="shared" ca="1" si="0"/>
        <v>1</v>
      </c>
      <c r="C16" s="12" t="s">
        <v>24</v>
      </c>
      <c r="D16" s="13" t="s">
        <v>67</v>
      </c>
      <c r="E16" s="13" t="s">
        <v>368</v>
      </c>
      <c r="F16" s="13" t="s">
        <v>194</v>
      </c>
      <c r="G16" s="13" t="s">
        <v>182</v>
      </c>
      <c r="H16" s="13" t="s">
        <v>393</v>
      </c>
      <c r="I16" s="14" t="s">
        <v>74</v>
      </c>
    </row>
  </sheetData>
  <mergeCells count="5">
    <mergeCell ref="A1:B1"/>
    <mergeCell ref="A2:B3"/>
    <mergeCell ref="C2:C3"/>
    <mergeCell ref="A5:I5"/>
    <mergeCell ref="A6:I6"/>
  </mergeCells>
  <phoneticPr fontId="2"/>
  <conditionalFormatting sqref="B9:B16 A13:B16">
    <cfRule type="expression" dxfId="23" priority="1">
      <formula>A9&lt;&gt;""</formula>
    </cfRule>
  </conditionalFormatting>
  <dataValidations count="2">
    <dataValidation type="list" allowBlank="1" showInputMessage="1" showErrorMessage="1" sqref="I9:I16" xr:uid="{00000000-0002-0000-0300-000000000000}">
      <formula1>"Selenium:○,Seleniumu:△,Selenium:×,JUnit:○,JUnit:△,Junit:×,手動実行,机上"</formula1>
    </dataValidation>
    <dataValidation type="list" allowBlank="1" showInputMessage="1" showErrorMessage="1" sqref="C9:C16" xr:uid="{00000000-0002-0000-0300-000001000000}">
      <formula1>"正常,クライアントエラー,サーバーエラー"</formula1>
    </dataValidation>
  </dataValidations>
  <hyperlinks>
    <hyperlink ref="A2" location="大中項目!A1" display="目次へ" xr:uid="{00000000-0004-0000-03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0"/>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7.33203125" customWidth="1"/>
    <col min="7" max="7" width="27.6640625" customWidth="1"/>
    <col min="8" max="8" width="47.33203125"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COUNTA($D$9:$D$65494)</f>
        <v>2</v>
      </c>
      <c r="D2" s="16" t="str">
        <f>大中項目!B1</f>
        <v>RSCL</v>
      </c>
      <c r="E2" s="16" t="str" cm="1">
        <f t="array" aca="1" ref="E2" ca="1">MID(CELL("filename", A1), FIND("]", CELL("filename", A1)) + 1, 255)</f>
        <v>RSCL03</v>
      </c>
      <c r="F2" s="9"/>
      <c r="G2" s="9"/>
      <c r="H2" s="8"/>
    </row>
    <row r="3" spans="1:9" x14ac:dyDescent="0.2">
      <c r="A3" s="46"/>
      <c r="B3" s="47"/>
      <c r="C3" s="49"/>
      <c r="D3" s="16" t="str">
        <f>大中項目!B2</f>
        <v>RESTクライアント</v>
      </c>
      <c r="E3" s="16" t="str">
        <f ca="1">INDEX(大中項目!B:B, MATCH(E2, 大中項目!A:A, 0))</f>
        <v>BaseURLの設定（RestTemplate）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93" customHeight="1" x14ac:dyDescent="0.2">
      <c r="A9" s="25" t="s">
        <v>43</v>
      </c>
      <c r="B9" s="17">
        <f ca="1">IF(A9&lt;&gt;"",1,INDIRECT(ADDRESS(ROW(B9)-1,COLUMN(B9),4))+1)</f>
        <v>1</v>
      </c>
      <c r="C9" s="12" t="s">
        <v>24</v>
      </c>
      <c r="D9" s="13" t="s">
        <v>183</v>
      </c>
      <c r="E9" s="13" t="s">
        <v>369</v>
      </c>
      <c r="F9" s="13" t="s">
        <v>185</v>
      </c>
      <c r="G9" s="13" t="s">
        <v>206</v>
      </c>
      <c r="H9" s="13" t="s">
        <v>432</v>
      </c>
      <c r="I9" s="14" t="s">
        <v>74</v>
      </c>
    </row>
    <row r="10" spans="1:9" ht="90" customHeight="1" x14ac:dyDescent="0.2">
      <c r="A10" s="25" t="s">
        <v>44</v>
      </c>
      <c r="B10" s="17">
        <f t="shared" ref="B10" ca="1" si="0">IF(A10&lt;&gt;"",1,INDIRECT(ADDRESS(ROW(B10)-1,COLUMN(B10),4))+1)</f>
        <v>1</v>
      </c>
      <c r="C10" s="12" t="s">
        <v>24</v>
      </c>
      <c r="D10" s="13" t="s">
        <v>184</v>
      </c>
      <c r="E10" s="13" t="s">
        <v>369</v>
      </c>
      <c r="F10" s="13" t="s">
        <v>186</v>
      </c>
      <c r="G10" s="13" t="s">
        <v>206</v>
      </c>
      <c r="H10" s="13" t="s">
        <v>446</v>
      </c>
      <c r="I10" s="14" t="s">
        <v>74</v>
      </c>
    </row>
  </sheetData>
  <mergeCells count="5">
    <mergeCell ref="A1:B1"/>
    <mergeCell ref="A2:B3"/>
    <mergeCell ref="C2:C3"/>
    <mergeCell ref="A5:I5"/>
    <mergeCell ref="A6:I6"/>
  </mergeCells>
  <phoneticPr fontId="2"/>
  <conditionalFormatting sqref="B9:B10 A10:B10">
    <cfRule type="expression" dxfId="22" priority="1">
      <formula>A9&lt;&gt;""</formula>
    </cfRule>
  </conditionalFormatting>
  <dataValidations count="2">
    <dataValidation type="list" allowBlank="1" showInputMessage="1" showErrorMessage="1" sqref="C9:C10" xr:uid="{00000000-0002-0000-0400-000000000000}">
      <formula1>"正常,クライアントエラー,サーバーエラー"</formula1>
    </dataValidation>
    <dataValidation type="list" allowBlank="1" showInputMessage="1" showErrorMessage="1" sqref="I9:I10" xr:uid="{00000000-0002-0000-0400-000001000000}">
      <formula1>"Selenium:○,Seleniumu:△,Selenium:×,JUnit:○,JUnit:△,Junit:×,手動実行,机上"</formula1>
    </dataValidation>
  </dataValidations>
  <hyperlinks>
    <hyperlink ref="A2" location="大中項目!A1" display="目次へ" xr:uid="{00000000-0004-0000-04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5"/>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6.6640625" customWidth="1"/>
    <col min="7" max="7" width="26.33203125" bestFit="1" customWidth="1"/>
    <col min="8" max="8" width="46.6640625"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COUNTA($D$9:$D$65495)</f>
        <v>7</v>
      </c>
      <c r="D2" s="16" t="str">
        <f>大中項目!B1</f>
        <v>RSCL</v>
      </c>
      <c r="E2" s="16" t="str" cm="1">
        <f t="array" aca="1" ref="E2" ca="1">MID(CELL("filename", A1), FIND("]", CELL("filename", A1)) + 1, 255)</f>
        <v>RSCL04</v>
      </c>
      <c r="F2" s="9"/>
      <c r="G2" s="9"/>
      <c r="H2" s="8"/>
    </row>
    <row r="3" spans="1:9" x14ac:dyDescent="0.2">
      <c r="A3" s="46"/>
      <c r="B3" s="47"/>
      <c r="C3" s="49"/>
      <c r="D3" s="16" t="str">
        <f>大中項目!B2</f>
        <v>RESTクライアント</v>
      </c>
      <c r="E3" s="39" t="str">
        <f ca="1">INDEX(大中項目!B:B, MATCH(E2, 大中項目!A:A, 0))</f>
        <v>各種HTTPメソッドを利用したアクセスの確認（RestTemplate）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08" customHeight="1" x14ac:dyDescent="0.2">
      <c r="A9" s="25" t="s">
        <v>35</v>
      </c>
      <c r="B9" s="17">
        <f ca="1">IF(A9&lt;&gt;"",1,INDIRECT(ADDRESS(ROW(B9)-1,COLUMN(B9),4))+1)</f>
        <v>1</v>
      </c>
      <c r="C9" s="12" t="s">
        <v>24</v>
      </c>
      <c r="D9" s="13" t="s">
        <v>195</v>
      </c>
      <c r="E9" s="13" t="s">
        <v>370</v>
      </c>
      <c r="F9" s="13" t="s">
        <v>197</v>
      </c>
      <c r="G9" s="13" t="s">
        <v>206</v>
      </c>
      <c r="H9" s="13" t="s">
        <v>394</v>
      </c>
      <c r="I9" s="14" t="s">
        <v>74</v>
      </c>
    </row>
    <row r="10" spans="1:9" ht="234" customHeight="1" x14ac:dyDescent="0.2">
      <c r="A10" s="25" t="s">
        <v>38</v>
      </c>
      <c r="B10" s="17">
        <f t="shared" ref="B10:B12" ca="1" si="0">IF(A10&lt;&gt;"",1,INDIRECT(ADDRESS(ROW(B10)-1,COLUMN(B10),4))+1)</f>
        <v>1</v>
      </c>
      <c r="C10" s="12" t="s">
        <v>24</v>
      </c>
      <c r="D10" s="13" t="s">
        <v>196</v>
      </c>
      <c r="E10" s="13" t="s">
        <v>370</v>
      </c>
      <c r="F10" s="13" t="s">
        <v>197</v>
      </c>
      <c r="G10" s="13" t="s">
        <v>206</v>
      </c>
      <c r="H10" s="13" t="s">
        <v>395</v>
      </c>
      <c r="I10" s="14" t="s">
        <v>74</v>
      </c>
    </row>
    <row r="11" spans="1:9" ht="110.4" customHeight="1" x14ac:dyDescent="0.2">
      <c r="A11" s="25" t="s">
        <v>36</v>
      </c>
      <c r="B11" s="17">
        <f t="shared" ca="1" si="0"/>
        <v>1</v>
      </c>
      <c r="C11" s="12" t="s">
        <v>24</v>
      </c>
      <c r="D11" s="13" t="s">
        <v>347</v>
      </c>
      <c r="E11" s="13" t="s">
        <v>370</v>
      </c>
      <c r="F11" s="13" t="s">
        <v>198</v>
      </c>
      <c r="G11" s="13" t="s">
        <v>203</v>
      </c>
      <c r="H11" s="13" t="s">
        <v>396</v>
      </c>
      <c r="I11" s="14" t="s">
        <v>74</v>
      </c>
    </row>
    <row r="12" spans="1:9" ht="114.6" customHeight="1" x14ac:dyDescent="0.2">
      <c r="A12" s="25" t="s">
        <v>37</v>
      </c>
      <c r="B12" s="17">
        <f t="shared" ca="1" si="0"/>
        <v>1</v>
      </c>
      <c r="C12" s="12" t="s">
        <v>24</v>
      </c>
      <c r="D12" s="13" t="s">
        <v>348</v>
      </c>
      <c r="E12" s="13" t="s">
        <v>370</v>
      </c>
      <c r="F12" s="13" t="s">
        <v>199</v>
      </c>
      <c r="G12" s="13" t="s">
        <v>204</v>
      </c>
      <c r="H12" s="13" t="s">
        <v>397</v>
      </c>
      <c r="I12" s="14" t="s">
        <v>74</v>
      </c>
    </row>
    <row r="13" spans="1:9" ht="113.4" customHeight="1" x14ac:dyDescent="0.2">
      <c r="A13" s="25" t="s">
        <v>45</v>
      </c>
      <c r="B13" s="17">
        <f t="shared" ref="B13:B14" ca="1" si="1">IF(A13&lt;&gt;"",1,INDIRECT(ADDRESS(ROW(B13)-1,COLUMN(B13),4))+1)</f>
        <v>1</v>
      </c>
      <c r="C13" s="12" t="s">
        <v>24</v>
      </c>
      <c r="D13" s="13" t="s">
        <v>349</v>
      </c>
      <c r="E13" s="13" t="s">
        <v>370</v>
      </c>
      <c r="F13" s="13" t="s">
        <v>200</v>
      </c>
      <c r="G13" s="13" t="s">
        <v>205</v>
      </c>
      <c r="H13" s="13" t="s">
        <v>398</v>
      </c>
      <c r="I13" s="14" t="s">
        <v>74</v>
      </c>
    </row>
    <row r="14" spans="1:9" ht="65.400000000000006" customHeight="1" x14ac:dyDescent="0.2">
      <c r="A14" s="25" t="s">
        <v>42</v>
      </c>
      <c r="B14" s="17">
        <f t="shared" ca="1" si="1"/>
        <v>1</v>
      </c>
      <c r="C14" s="12" t="s">
        <v>24</v>
      </c>
      <c r="D14" s="13" t="s">
        <v>447</v>
      </c>
      <c r="E14" s="13" t="s">
        <v>370</v>
      </c>
      <c r="F14" s="13" t="s">
        <v>201</v>
      </c>
      <c r="G14" s="13" t="s">
        <v>206</v>
      </c>
      <c r="H14" s="13" t="s">
        <v>399</v>
      </c>
      <c r="I14" s="14" t="s">
        <v>74</v>
      </c>
    </row>
    <row r="15" spans="1:9" ht="67.8" customHeight="1" x14ac:dyDescent="0.2">
      <c r="A15" s="25" t="s">
        <v>218</v>
      </c>
      <c r="B15" s="17">
        <f t="shared" ref="B15" ca="1" si="2">IF(A15&lt;&gt;"",1,INDIRECT(ADDRESS(ROW(B15)-1,COLUMN(B15),4))+1)</f>
        <v>1</v>
      </c>
      <c r="C15" s="12" t="s">
        <v>24</v>
      </c>
      <c r="D15" s="13" t="s">
        <v>350</v>
      </c>
      <c r="E15" s="13" t="s">
        <v>370</v>
      </c>
      <c r="F15" s="13" t="s">
        <v>202</v>
      </c>
      <c r="G15" s="13" t="s">
        <v>206</v>
      </c>
      <c r="H15" s="13" t="s">
        <v>400</v>
      </c>
      <c r="I15" s="14" t="s">
        <v>74</v>
      </c>
    </row>
  </sheetData>
  <mergeCells count="5">
    <mergeCell ref="A1:B1"/>
    <mergeCell ref="A2:B3"/>
    <mergeCell ref="C2:C3"/>
    <mergeCell ref="A5:I5"/>
    <mergeCell ref="A6:I6"/>
  </mergeCells>
  <phoneticPr fontId="2"/>
  <conditionalFormatting sqref="A10:B15">
    <cfRule type="expression" dxfId="21" priority="1">
      <formula>A10&lt;&gt;""</formula>
    </cfRule>
  </conditionalFormatting>
  <conditionalFormatting sqref="B9">
    <cfRule type="expression" dxfId="20" priority="3">
      <formula>B9&lt;&gt;""</formula>
    </cfRule>
  </conditionalFormatting>
  <dataValidations count="2">
    <dataValidation type="list" allowBlank="1" showInputMessage="1" showErrorMessage="1" sqref="I9:I15" xr:uid="{00000000-0002-0000-0500-000000000000}">
      <formula1>"Selenium:○,Seleniumu:△,Selenium:×,JUnit:○,JUnit:△,Junit:×,手動実行,机上"</formula1>
    </dataValidation>
    <dataValidation type="list" allowBlank="1" showInputMessage="1" showErrorMessage="1" sqref="C9:C15" xr:uid="{00000000-0002-0000-0500-000001000000}">
      <formula1>"正常,クライアントエラー,サーバーエラー"</formula1>
    </dataValidation>
  </dataValidations>
  <hyperlinks>
    <hyperlink ref="A2" location="大中項目!A1" display="目次へ" xr:uid="{00000000-0004-0000-05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24"/>
  <sheetViews>
    <sheetView showGridLines="0" zoomScaleNormal="100" workbookViewId="0">
      <pane ySplit="8" topLeftCell="A9" activePane="bottomLeft" state="frozen"/>
      <selection activeCell="C20" sqref="C20"/>
      <selection pane="bottomLeft" sqref="A1:B1"/>
    </sheetView>
  </sheetViews>
  <sheetFormatPr defaultRowHeight="13.2" x14ac:dyDescent="0.2"/>
  <cols>
    <col min="1" max="1" width="11.21875" customWidth="1"/>
    <col min="2" max="2" width="8.6640625" customWidth="1"/>
    <col min="3" max="3" width="10.33203125" customWidth="1"/>
    <col min="4" max="4" width="31.5546875" customWidth="1"/>
    <col min="5" max="5" width="42.77734375" customWidth="1"/>
    <col min="6" max="6" width="44.77734375" customWidth="1"/>
    <col min="7" max="7" width="25.44140625" bestFit="1" customWidth="1"/>
    <col min="8" max="8" width="44.77734375"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COUNTA($D$9:$D$65499)</f>
        <v>16</v>
      </c>
      <c r="D2" s="16" t="str">
        <f>大中項目!B1</f>
        <v>RSCL</v>
      </c>
      <c r="E2" s="16" t="str" cm="1">
        <f t="array" aca="1" ref="E2" ca="1">MID(CELL("filename", A1), FIND("]", CELL("filename", A1)) + 1, 255)</f>
        <v>RSCL05</v>
      </c>
      <c r="F2" s="9"/>
      <c r="G2" s="9"/>
      <c r="H2" s="8"/>
    </row>
    <row r="3" spans="1:9" x14ac:dyDescent="0.2">
      <c r="A3" s="46"/>
      <c r="B3" s="47"/>
      <c r="C3" s="49"/>
      <c r="D3" s="16" t="str">
        <f>大中項目!B2</f>
        <v>RESTクライアント</v>
      </c>
      <c r="E3" s="16" t="str">
        <f ca="1">INDEX(大中項目!B:B, MATCH(E2, 大中項目!A:A, 0))</f>
        <v>エラーハンドリングの設定（RestTemplate）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11.6" customHeight="1" x14ac:dyDescent="0.2">
      <c r="A9" s="25" t="s">
        <v>39</v>
      </c>
      <c r="B9" s="17">
        <f ca="1">IF(A9&lt;&gt;"",1,INDIRECT(ADDRESS(ROW(B9)-1,COLUMN(B9),4))+1)</f>
        <v>1</v>
      </c>
      <c r="C9" s="12" t="s">
        <v>24</v>
      </c>
      <c r="D9" s="13" t="s">
        <v>207</v>
      </c>
      <c r="E9" s="13" t="s">
        <v>370</v>
      </c>
      <c r="F9" s="13" t="s">
        <v>230</v>
      </c>
      <c r="G9" s="13" t="s">
        <v>206</v>
      </c>
      <c r="H9" s="13" t="s">
        <v>401</v>
      </c>
      <c r="I9" s="14" t="s">
        <v>74</v>
      </c>
    </row>
    <row r="10" spans="1:9" ht="124.8" customHeight="1" x14ac:dyDescent="0.2">
      <c r="A10" s="25" t="s">
        <v>40</v>
      </c>
      <c r="B10" s="17">
        <f t="shared" ref="B10" ca="1" si="0">IF(A10&lt;&gt;"",1,INDIRECT(ADDRESS(ROW(B10)-1,COLUMN(B10),4))+1)</f>
        <v>1</v>
      </c>
      <c r="C10" s="12" t="s">
        <v>60</v>
      </c>
      <c r="D10" s="13" t="s">
        <v>208</v>
      </c>
      <c r="E10" s="13" t="s">
        <v>370</v>
      </c>
      <c r="F10" s="13" t="s">
        <v>231</v>
      </c>
      <c r="G10" s="13" t="s">
        <v>206</v>
      </c>
      <c r="H10" s="13" t="s">
        <v>402</v>
      </c>
      <c r="I10" s="14" t="s">
        <v>74</v>
      </c>
    </row>
    <row r="11" spans="1:9" ht="135.6" customHeight="1" x14ac:dyDescent="0.2">
      <c r="A11" s="25" t="s">
        <v>219</v>
      </c>
      <c r="B11" s="17">
        <f t="shared" ref="B11:B22" ca="1" si="1">IF(A11&lt;&gt;"",1,INDIRECT(ADDRESS(ROW(B11)-1,COLUMN(B11),4))+1)</f>
        <v>1</v>
      </c>
      <c r="C11" s="12" t="s">
        <v>60</v>
      </c>
      <c r="D11" s="13" t="s">
        <v>209</v>
      </c>
      <c r="E11" s="13" t="s">
        <v>370</v>
      </c>
      <c r="F11" s="13" t="s">
        <v>232</v>
      </c>
      <c r="G11" s="13" t="s">
        <v>206</v>
      </c>
      <c r="H11" s="13" t="s">
        <v>403</v>
      </c>
      <c r="I11" s="14" t="s">
        <v>74</v>
      </c>
    </row>
    <row r="12" spans="1:9" ht="117.6" customHeight="1" x14ac:dyDescent="0.2">
      <c r="A12" s="25" t="s">
        <v>220</v>
      </c>
      <c r="B12" s="17">
        <f t="shared" ca="1" si="1"/>
        <v>1</v>
      </c>
      <c r="C12" s="12" t="s">
        <v>60</v>
      </c>
      <c r="D12" s="13" t="s">
        <v>210</v>
      </c>
      <c r="E12" s="13" t="s">
        <v>370</v>
      </c>
      <c r="F12" s="13" t="s">
        <v>233</v>
      </c>
      <c r="G12" s="13" t="s">
        <v>206</v>
      </c>
      <c r="H12" s="13" t="s">
        <v>404</v>
      </c>
      <c r="I12" s="14" t="s">
        <v>74</v>
      </c>
    </row>
    <row r="13" spans="1:9" ht="111" customHeight="1" x14ac:dyDescent="0.2">
      <c r="A13" s="25" t="s">
        <v>221</v>
      </c>
      <c r="B13" s="17">
        <f t="shared" ca="1" si="1"/>
        <v>1</v>
      </c>
      <c r="C13" s="12" t="s">
        <v>24</v>
      </c>
      <c r="D13" s="13" t="s">
        <v>211</v>
      </c>
      <c r="E13" s="13" t="s">
        <v>371</v>
      </c>
      <c r="F13" s="13" t="s">
        <v>229</v>
      </c>
      <c r="G13" s="13" t="s">
        <v>206</v>
      </c>
      <c r="H13" s="13" t="s">
        <v>405</v>
      </c>
      <c r="I13" s="14" t="s">
        <v>74</v>
      </c>
    </row>
    <row r="14" spans="1:9" ht="124.2" customHeight="1" x14ac:dyDescent="0.2">
      <c r="A14" s="25" t="s">
        <v>222</v>
      </c>
      <c r="B14" s="17">
        <f t="shared" ca="1" si="1"/>
        <v>1</v>
      </c>
      <c r="C14" s="12" t="s">
        <v>61</v>
      </c>
      <c r="D14" s="13" t="s">
        <v>212</v>
      </c>
      <c r="E14" s="13" t="s">
        <v>371</v>
      </c>
      <c r="F14" s="13" t="s">
        <v>234</v>
      </c>
      <c r="G14" s="13" t="s">
        <v>206</v>
      </c>
      <c r="H14" s="13" t="s">
        <v>406</v>
      </c>
      <c r="I14" s="14" t="s">
        <v>74</v>
      </c>
    </row>
    <row r="15" spans="1:9" ht="129" customHeight="1" x14ac:dyDescent="0.2">
      <c r="A15" s="25" t="s">
        <v>223</v>
      </c>
      <c r="B15" s="17">
        <f t="shared" ca="1" si="1"/>
        <v>1</v>
      </c>
      <c r="C15" s="12" t="s">
        <v>24</v>
      </c>
      <c r="D15" s="13" t="s">
        <v>213</v>
      </c>
      <c r="E15" s="13" t="s">
        <v>372</v>
      </c>
      <c r="F15" s="13" t="s">
        <v>230</v>
      </c>
      <c r="G15" s="13" t="s">
        <v>206</v>
      </c>
      <c r="H15" s="13" t="s">
        <v>407</v>
      </c>
      <c r="I15" s="14" t="s">
        <v>74</v>
      </c>
    </row>
    <row r="16" spans="1:9" ht="116.4" customHeight="1" x14ac:dyDescent="0.2">
      <c r="A16" s="25" t="s">
        <v>224</v>
      </c>
      <c r="B16" s="17">
        <f t="shared" ca="1" si="1"/>
        <v>1</v>
      </c>
      <c r="C16" s="12" t="s">
        <v>60</v>
      </c>
      <c r="D16" s="13" t="s">
        <v>214</v>
      </c>
      <c r="E16" s="13" t="s">
        <v>372</v>
      </c>
      <c r="F16" s="13" t="s">
        <v>231</v>
      </c>
      <c r="G16" s="13" t="s">
        <v>206</v>
      </c>
      <c r="H16" s="13" t="s">
        <v>408</v>
      </c>
      <c r="I16" s="14" t="s">
        <v>74</v>
      </c>
    </row>
    <row r="17" spans="1:9" ht="128.4" customHeight="1" x14ac:dyDescent="0.2">
      <c r="A17" s="25" t="s">
        <v>225</v>
      </c>
      <c r="B17" s="17">
        <f t="shared" ca="1" si="1"/>
        <v>1</v>
      </c>
      <c r="C17" s="12" t="s">
        <v>60</v>
      </c>
      <c r="D17" s="13" t="s">
        <v>215</v>
      </c>
      <c r="E17" s="13" t="s">
        <v>372</v>
      </c>
      <c r="F17" s="13" t="s">
        <v>232</v>
      </c>
      <c r="G17" s="13" t="s">
        <v>206</v>
      </c>
      <c r="H17" s="13" t="s">
        <v>409</v>
      </c>
      <c r="I17" s="14" t="s">
        <v>74</v>
      </c>
    </row>
    <row r="18" spans="1:9" ht="132" customHeight="1" x14ac:dyDescent="0.2">
      <c r="A18" s="25" t="s">
        <v>226</v>
      </c>
      <c r="B18" s="17">
        <f t="shared" ca="1" si="1"/>
        <v>1</v>
      </c>
      <c r="C18" s="12" t="s">
        <v>60</v>
      </c>
      <c r="D18" s="13" t="s">
        <v>473</v>
      </c>
      <c r="E18" s="13" t="s">
        <v>372</v>
      </c>
      <c r="F18" s="13" t="s">
        <v>233</v>
      </c>
      <c r="G18" s="13" t="s">
        <v>206</v>
      </c>
      <c r="H18" s="13" t="s">
        <v>410</v>
      </c>
      <c r="I18" s="14" t="s">
        <v>74</v>
      </c>
    </row>
    <row r="19" spans="1:9" ht="129" customHeight="1" x14ac:dyDescent="0.2">
      <c r="A19" s="25" t="s">
        <v>227</v>
      </c>
      <c r="B19" s="17">
        <f t="shared" ca="1" si="1"/>
        <v>1</v>
      </c>
      <c r="C19" s="12" t="s">
        <v>24</v>
      </c>
      <c r="D19" s="13" t="s">
        <v>463</v>
      </c>
      <c r="E19" s="13" t="s">
        <v>464</v>
      </c>
      <c r="F19" s="13" t="s">
        <v>230</v>
      </c>
      <c r="G19" s="13" t="s">
        <v>206</v>
      </c>
      <c r="H19" s="13" t="s">
        <v>407</v>
      </c>
      <c r="I19" s="14" t="s">
        <v>74</v>
      </c>
    </row>
    <row r="20" spans="1:9" ht="116.4" customHeight="1" x14ac:dyDescent="0.2">
      <c r="A20" s="25" t="s">
        <v>228</v>
      </c>
      <c r="B20" s="17">
        <f t="shared" ca="1" si="1"/>
        <v>1</v>
      </c>
      <c r="C20" s="12" t="s">
        <v>60</v>
      </c>
      <c r="D20" s="13" t="s">
        <v>465</v>
      </c>
      <c r="E20" s="13" t="s">
        <v>464</v>
      </c>
      <c r="F20" s="13" t="s">
        <v>231</v>
      </c>
      <c r="G20" s="13" t="s">
        <v>206</v>
      </c>
      <c r="H20" s="13" t="s">
        <v>466</v>
      </c>
      <c r="I20" s="14" t="s">
        <v>74</v>
      </c>
    </row>
    <row r="21" spans="1:9" ht="128.4" customHeight="1" x14ac:dyDescent="0.2">
      <c r="A21" s="25" t="s">
        <v>467</v>
      </c>
      <c r="B21" s="17">
        <f t="shared" ca="1" si="1"/>
        <v>1</v>
      </c>
      <c r="C21" s="12" t="s">
        <v>60</v>
      </c>
      <c r="D21" s="13" t="s">
        <v>468</v>
      </c>
      <c r="E21" s="13" t="s">
        <v>464</v>
      </c>
      <c r="F21" s="13" t="s">
        <v>232</v>
      </c>
      <c r="G21" s="13" t="s">
        <v>206</v>
      </c>
      <c r="H21" s="13" t="s">
        <v>409</v>
      </c>
      <c r="I21" s="14" t="s">
        <v>74</v>
      </c>
    </row>
    <row r="22" spans="1:9" ht="132" customHeight="1" x14ac:dyDescent="0.2">
      <c r="A22" s="25" t="s">
        <v>469</v>
      </c>
      <c r="B22" s="17">
        <f t="shared" ca="1" si="1"/>
        <v>1</v>
      </c>
      <c r="C22" s="12" t="s">
        <v>60</v>
      </c>
      <c r="D22" s="13" t="s">
        <v>470</v>
      </c>
      <c r="E22" s="13" t="s">
        <v>464</v>
      </c>
      <c r="F22" s="13" t="s">
        <v>233</v>
      </c>
      <c r="G22" s="13" t="s">
        <v>206</v>
      </c>
      <c r="H22" s="13" t="s">
        <v>410</v>
      </c>
      <c r="I22" s="14" t="s">
        <v>74</v>
      </c>
    </row>
    <row r="23" spans="1:9" ht="126.6" customHeight="1" x14ac:dyDescent="0.2">
      <c r="A23" s="25" t="s">
        <v>471</v>
      </c>
      <c r="B23" s="17">
        <f t="shared" ref="B23:B24" ca="1" si="2">IF(A23&lt;&gt;"",1,INDIRECT(ADDRESS(ROW(B23)-1,COLUMN(B23),4))+1)</f>
        <v>1</v>
      </c>
      <c r="C23" s="12" t="s">
        <v>24</v>
      </c>
      <c r="D23" s="13" t="s">
        <v>216</v>
      </c>
      <c r="E23" s="13" t="s">
        <v>373</v>
      </c>
      <c r="F23" s="13" t="s">
        <v>229</v>
      </c>
      <c r="G23" s="13" t="s">
        <v>206</v>
      </c>
      <c r="H23" s="13" t="s">
        <v>411</v>
      </c>
      <c r="I23" s="14" t="s">
        <v>74</v>
      </c>
    </row>
    <row r="24" spans="1:9" ht="135.6" customHeight="1" x14ac:dyDescent="0.2">
      <c r="A24" s="25" t="s">
        <v>472</v>
      </c>
      <c r="B24" s="17">
        <f t="shared" ca="1" si="2"/>
        <v>1</v>
      </c>
      <c r="C24" s="12" t="s">
        <v>61</v>
      </c>
      <c r="D24" s="13" t="s">
        <v>217</v>
      </c>
      <c r="E24" s="13" t="s">
        <v>373</v>
      </c>
      <c r="F24" s="13" t="s">
        <v>234</v>
      </c>
      <c r="G24" s="13" t="s">
        <v>206</v>
      </c>
      <c r="H24" s="13" t="s">
        <v>412</v>
      </c>
      <c r="I24" s="14" t="s">
        <v>74</v>
      </c>
    </row>
  </sheetData>
  <mergeCells count="5">
    <mergeCell ref="A1:B1"/>
    <mergeCell ref="A2:B3"/>
    <mergeCell ref="C2:C3"/>
    <mergeCell ref="A5:I5"/>
    <mergeCell ref="A6:I6"/>
  </mergeCells>
  <phoneticPr fontId="2"/>
  <conditionalFormatting sqref="A10:B18 B23:B24">
    <cfRule type="expression" dxfId="19" priority="2">
      <formula>A10&lt;&gt;""</formula>
    </cfRule>
  </conditionalFormatting>
  <conditionalFormatting sqref="B9">
    <cfRule type="expression" dxfId="18" priority="12">
      <formula>B9&lt;&gt;""</formula>
    </cfRule>
  </conditionalFormatting>
  <conditionalFormatting sqref="A19:B22 A23:A24">
    <cfRule type="expression" dxfId="0" priority="1">
      <formula>A19&lt;&gt;""</formula>
    </cfRule>
  </conditionalFormatting>
  <dataValidations count="2">
    <dataValidation type="list" allowBlank="1" showInputMessage="1" showErrorMessage="1" sqref="C9:C24" xr:uid="{00000000-0002-0000-0600-000000000000}">
      <formula1>"正常,クライアントエラー,サーバーエラー"</formula1>
    </dataValidation>
    <dataValidation type="list" allowBlank="1" showInputMessage="1" showErrorMessage="1" sqref="I9:I24" xr:uid="{27C82C8C-5E59-4F53-9CF3-BC193A9AD592}">
      <formula1>"Selenium:○,Seleniumu:△,Selenium:×,JUnit:○,JUnit:△,Junit:×,手動実行,机上"</formula1>
    </dataValidation>
  </dataValidations>
  <hyperlinks>
    <hyperlink ref="A2" location="大中項目!A1" display="目次へ" xr:uid="{00000000-0004-0000-06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9"/>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1.77734375" customWidth="1"/>
    <col min="7" max="7" width="26.33203125" bestFit="1" customWidth="1"/>
    <col min="8" max="8" width="42"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COUNTA($D$9:$D$65492)</f>
        <v>1</v>
      </c>
      <c r="D2" s="16" t="str">
        <f>大中項目!B1</f>
        <v>RSCL</v>
      </c>
      <c r="E2" s="16" t="str" cm="1">
        <f t="array" aca="1" ref="E2" ca="1">MID(CELL("filename", A1), FIND("]", CELL("filename", A1)) + 1, 255)</f>
        <v>RSCL06</v>
      </c>
      <c r="F2" s="9"/>
      <c r="G2" s="9"/>
      <c r="H2" s="8"/>
    </row>
    <row r="3" spans="1:9" x14ac:dyDescent="0.2">
      <c r="A3" s="46"/>
      <c r="B3" s="47"/>
      <c r="C3" s="49"/>
      <c r="D3" s="16" t="str">
        <f>大中項目!B2</f>
        <v>RESTクライアント</v>
      </c>
      <c r="E3" s="16" t="str">
        <f ca="1">INDEX(大中項目!B:B, MATCH(E2, 大中項目!A:A, 0))</f>
        <v>共通リクエストヘッダの設定（RestTemplate）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20.6" customHeight="1" x14ac:dyDescent="0.2">
      <c r="A9" s="25" t="s">
        <v>235</v>
      </c>
      <c r="B9" s="17">
        <f ca="1">IF(A9&lt;&gt;"",1,INDIRECT(ADDRESS(ROW(B9)-1,COLUMN(B9),4))+1)</f>
        <v>1</v>
      </c>
      <c r="C9" s="12" t="s">
        <v>24</v>
      </c>
      <c r="D9" s="13" t="s">
        <v>236</v>
      </c>
      <c r="E9" s="13" t="s">
        <v>374</v>
      </c>
      <c r="F9" s="13" t="s">
        <v>237</v>
      </c>
      <c r="G9" s="13" t="s">
        <v>206</v>
      </c>
      <c r="H9" s="13" t="s">
        <v>413</v>
      </c>
      <c r="I9" s="14" t="s">
        <v>74</v>
      </c>
    </row>
  </sheetData>
  <mergeCells count="5">
    <mergeCell ref="A1:B1"/>
    <mergeCell ref="A2:B3"/>
    <mergeCell ref="C2:C3"/>
    <mergeCell ref="A5:I5"/>
    <mergeCell ref="A6:I6"/>
  </mergeCells>
  <phoneticPr fontId="2"/>
  <conditionalFormatting sqref="A9:B9">
    <cfRule type="expression" dxfId="17" priority="1">
      <formula>A9&lt;&gt;""</formula>
    </cfRule>
  </conditionalFormatting>
  <dataValidations count="2">
    <dataValidation type="list" allowBlank="1" showInputMessage="1" showErrorMessage="1" sqref="I9" xr:uid="{00000000-0002-0000-0900-000000000000}">
      <formula1>"Selenium:○,Seleniumu:△,Selenium:×,JUnit:○,JUnit:△,Junit:×,手動実行,机上"</formula1>
    </dataValidation>
    <dataValidation type="list" allowBlank="1" showInputMessage="1" showErrorMessage="1" sqref="C9" xr:uid="{00000000-0002-0000-0900-000001000000}">
      <formula1>"正常,クライアントエラー,サーバーエラー"</formula1>
    </dataValidation>
  </dataValidations>
  <hyperlinks>
    <hyperlink ref="A2" location="大中項目!A1" display="目次へ" xr:uid="{00000000-0004-0000-09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4609A-CCF8-417A-9535-55A3EFD76E5A}">
  <sheetPr>
    <pageSetUpPr fitToPage="1"/>
  </sheetPr>
  <dimension ref="A1:I11"/>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1.77734375" customWidth="1"/>
    <col min="7" max="7" width="26.33203125" bestFit="1" customWidth="1"/>
    <col min="8" max="8" width="42"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COUNTA($D$9:$D$65492)</f>
        <v>3</v>
      </c>
      <c r="D2" s="16" t="str">
        <f>大中項目!B1</f>
        <v>RSCL</v>
      </c>
      <c r="E2" s="16" t="str" cm="1">
        <f t="array" aca="1" ref="E2" ca="1">MID(CELL("filename", A1), FIND("]", CELL("filename", A1)) + 1, 255)</f>
        <v>RSCL07</v>
      </c>
      <c r="F2" s="9"/>
      <c r="G2" s="9"/>
      <c r="H2" s="8"/>
    </row>
    <row r="3" spans="1:9" x14ac:dyDescent="0.2">
      <c r="A3" s="46"/>
      <c r="B3" s="47"/>
      <c r="C3" s="49"/>
      <c r="D3" s="16" t="str">
        <f>大中項目!B2</f>
        <v>RESTクライアント</v>
      </c>
      <c r="E3" s="16" t="str">
        <f ca="1">INDEX(大中項目!B:B, MATCH(E2, 大中項目!A:A, 0))</f>
        <v>認証の設定（RestTemplate）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21.2" customHeight="1" x14ac:dyDescent="0.2">
      <c r="A9" s="25" t="s">
        <v>238</v>
      </c>
      <c r="B9" s="17">
        <f ca="1">IF(A9&lt;&gt;"",1,INDIRECT(ADDRESS(ROW(B9)-1,COLUMN(B9),4))+1)</f>
        <v>1</v>
      </c>
      <c r="C9" s="12" t="s">
        <v>24</v>
      </c>
      <c r="D9" s="13" t="s">
        <v>351</v>
      </c>
      <c r="E9" s="13" t="s">
        <v>375</v>
      </c>
      <c r="F9" s="13" t="s">
        <v>241</v>
      </c>
      <c r="G9" s="13" t="s">
        <v>206</v>
      </c>
      <c r="H9" s="13" t="s">
        <v>414</v>
      </c>
      <c r="I9" s="14" t="s">
        <v>74</v>
      </c>
    </row>
    <row r="10" spans="1:9" ht="91.2" customHeight="1" x14ac:dyDescent="0.2">
      <c r="A10" s="25" t="s">
        <v>239</v>
      </c>
      <c r="B10" s="17">
        <f ca="1">IF(A10&lt;&gt;"",1,INDIRECT(ADDRESS(ROW(B10)-1,COLUMN(B10),4))+1)</f>
        <v>1</v>
      </c>
      <c r="C10" s="12" t="s">
        <v>60</v>
      </c>
      <c r="D10" s="13" t="s">
        <v>352</v>
      </c>
      <c r="E10" s="13" t="s">
        <v>375</v>
      </c>
      <c r="F10" s="13" t="s">
        <v>242</v>
      </c>
      <c r="G10" s="13" t="s">
        <v>206</v>
      </c>
      <c r="H10" s="13" t="s">
        <v>282</v>
      </c>
      <c r="I10" s="14" t="s">
        <v>74</v>
      </c>
    </row>
    <row r="11" spans="1:9" ht="90" customHeight="1" x14ac:dyDescent="0.2">
      <c r="A11" s="25" t="s">
        <v>240</v>
      </c>
      <c r="B11" s="17">
        <f ca="1">IF(A11&lt;&gt;"",1,INDIRECT(ADDRESS(ROW(B11)-1,COLUMN(B11),4))+1)</f>
        <v>1</v>
      </c>
      <c r="C11" s="12" t="s">
        <v>60</v>
      </c>
      <c r="D11" s="13" t="s">
        <v>353</v>
      </c>
      <c r="E11" s="13" t="s">
        <v>370</v>
      </c>
      <c r="F11" s="13" t="s">
        <v>59</v>
      </c>
      <c r="G11" s="13" t="s">
        <v>206</v>
      </c>
      <c r="H11" s="13" t="s">
        <v>283</v>
      </c>
      <c r="I11" s="14" t="s">
        <v>74</v>
      </c>
    </row>
  </sheetData>
  <mergeCells count="5">
    <mergeCell ref="A1:B1"/>
    <mergeCell ref="A2:B3"/>
    <mergeCell ref="C2:C3"/>
    <mergeCell ref="A5:I5"/>
    <mergeCell ref="A6:I6"/>
  </mergeCells>
  <phoneticPr fontId="2"/>
  <conditionalFormatting sqref="A9:B11">
    <cfRule type="expression" dxfId="16" priority="1">
      <formula>A9&lt;&gt;""</formula>
    </cfRule>
  </conditionalFormatting>
  <dataValidations count="2">
    <dataValidation type="list" allowBlank="1" showInputMessage="1" showErrorMessage="1" sqref="C9:C11" xr:uid="{BF8F5E34-0ECA-4292-BF4C-AA6E6FB9622C}">
      <formula1>"正常,クライアントエラー,サーバーエラー"</formula1>
    </dataValidation>
    <dataValidation type="list" allowBlank="1" showInputMessage="1" showErrorMessage="1" sqref="I9:I11" xr:uid="{089BAB8B-0D2A-4555-8903-3729856A5EF5}">
      <formula1>"Selenium:○,Seleniumu:△,Selenium:×,JUnit:○,JUnit:△,Junit:×,手動実行,机上"</formula1>
    </dataValidation>
  </dataValidations>
  <hyperlinks>
    <hyperlink ref="A2" location="大中項目!A1" display="目次へ" xr:uid="{C5BCB9F6-B01D-4FE2-B527-62C2D3A2EFE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E06FB-7B0D-4CCB-9F4A-70F363C2E24C}">
  <sheetPr>
    <pageSetUpPr fitToPage="1"/>
  </sheetPr>
  <dimension ref="A1:I10"/>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1.77734375" customWidth="1"/>
    <col min="7" max="7" width="26.33203125" bestFit="1" customWidth="1"/>
    <col min="8" max="8" width="42"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COUNTA($D$9:$D$65491)</f>
        <v>2</v>
      </c>
      <c r="D2" s="16" t="str">
        <f>大中項目!B1</f>
        <v>RSCL</v>
      </c>
      <c r="E2" s="16" t="str" cm="1">
        <f t="array" aca="1" ref="E2" ca="1">MID(CELL("filename", A1), FIND("]", CELL("filename", A1)) + 1, 255)</f>
        <v>RSCL08</v>
      </c>
      <c r="F2" s="9"/>
      <c r="G2" s="9"/>
      <c r="H2" s="8"/>
    </row>
    <row r="3" spans="1:9" x14ac:dyDescent="0.2">
      <c r="A3" s="46"/>
      <c r="B3" s="47"/>
      <c r="C3" s="49"/>
      <c r="D3" s="16" t="str">
        <f>大中項目!B2</f>
        <v>RESTクライアント</v>
      </c>
      <c r="E3" s="16" t="str">
        <f ca="1">INDEX(大中項目!B:B, MATCH(E2, 大中項目!A:A, 0))</f>
        <v>タイムアウト設定（RestTemplate）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35" customHeight="1" x14ac:dyDescent="0.2">
      <c r="A9" s="25" t="s">
        <v>257</v>
      </c>
      <c r="B9" s="17">
        <f ca="1">IF(A9&lt;&gt;"",1,INDIRECT(ADDRESS(ROW(B9)-1,COLUMN(B9),4))+1)</f>
        <v>1</v>
      </c>
      <c r="C9" s="12" t="s">
        <v>61</v>
      </c>
      <c r="D9" s="13" t="s">
        <v>243</v>
      </c>
      <c r="E9" s="13" t="s">
        <v>376</v>
      </c>
      <c r="F9" s="13" t="s">
        <v>245</v>
      </c>
      <c r="G9" s="13" t="s">
        <v>206</v>
      </c>
      <c r="H9" s="13" t="s">
        <v>284</v>
      </c>
      <c r="I9" s="14" t="s">
        <v>74</v>
      </c>
    </row>
    <row r="10" spans="1:9" ht="148.80000000000001" customHeight="1" x14ac:dyDescent="0.2">
      <c r="A10" s="25" t="s">
        <v>258</v>
      </c>
      <c r="B10" s="17">
        <f ca="1">IF(A10&lt;&gt;"",1,INDIRECT(ADDRESS(ROW(B10)-1,COLUMN(B10),4))+1)</f>
        <v>1</v>
      </c>
      <c r="C10" s="12" t="s">
        <v>60</v>
      </c>
      <c r="D10" s="13" t="s">
        <v>244</v>
      </c>
      <c r="E10" s="13" t="s">
        <v>377</v>
      </c>
      <c r="F10" s="13" t="s">
        <v>246</v>
      </c>
      <c r="G10" s="13" t="s">
        <v>206</v>
      </c>
      <c r="H10" s="13" t="s">
        <v>415</v>
      </c>
      <c r="I10" s="14" t="s">
        <v>74</v>
      </c>
    </row>
  </sheetData>
  <mergeCells count="5">
    <mergeCell ref="A1:B1"/>
    <mergeCell ref="A2:B3"/>
    <mergeCell ref="C2:C3"/>
    <mergeCell ref="A5:I5"/>
    <mergeCell ref="A6:I6"/>
  </mergeCells>
  <phoneticPr fontId="2"/>
  <conditionalFormatting sqref="A9:B10">
    <cfRule type="expression" dxfId="15" priority="1">
      <formula>A9&lt;&gt;""</formula>
    </cfRule>
  </conditionalFormatting>
  <dataValidations count="2">
    <dataValidation type="list" allowBlank="1" showInputMessage="1" showErrorMessage="1" sqref="I9:I10" xr:uid="{F0B7D224-E40B-4F09-A99D-6478464B9D2A}">
      <formula1>"Selenium:○,Seleniumu:△,Selenium:×,JUnit:○,JUnit:△,Junit:×,手動実行,机上"</formula1>
    </dataValidation>
    <dataValidation type="list" allowBlank="1" showInputMessage="1" showErrorMessage="1" sqref="C9:C10" xr:uid="{7C9E58C4-7AE5-469C-87F6-3A14B6057FCC}">
      <formula1>"正常,クライアントエラー,サーバーエラー"</formula1>
    </dataValidation>
  </dataValidations>
  <hyperlinks>
    <hyperlink ref="A2" location="大中項目!A1" display="目次へ" xr:uid="{2D37F297-203E-48D0-8745-78216ADB3709}"/>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9"/>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6.6640625" customWidth="1"/>
    <col min="7" max="7" width="26.33203125" bestFit="1" customWidth="1"/>
    <col min="8" max="8" width="46.6640625"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COUNTA($D$9:$D$65495)</f>
        <v>1</v>
      </c>
      <c r="D2" s="16" t="str">
        <f>大中項目!B1</f>
        <v>RSCL</v>
      </c>
      <c r="E2" s="16" t="str" cm="1">
        <f t="array" aca="1" ref="E2" ca="1">MID(CELL("filename", A1), FIND("]", CELL("filename", A1)) + 1, 255)</f>
        <v>RSCL09</v>
      </c>
      <c r="F2" s="9"/>
      <c r="G2" s="9"/>
      <c r="H2" s="8"/>
    </row>
    <row r="3" spans="1:9" x14ac:dyDescent="0.2">
      <c r="A3" s="46"/>
      <c r="B3" s="47"/>
      <c r="C3" s="49"/>
      <c r="D3" s="16" t="str">
        <f>大中項目!B2</f>
        <v>RESTクライアント</v>
      </c>
      <c r="E3" s="16" t="str">
        <f ca="1">INDEX(大中項目!B:B, MATCH(E2, 大中項目!A:A, 0))</f>
        <v>ファイルアップロード（RestTemplate）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24.2" customHeight="1" x14ac:dyDescent="0.2">
      <c r="A9" s="25" t="s">
        <v>48</v>
      </c>
      <c r="B9" s="17">
        <f ca="1">IF(A9&lt;&gt;"",1,INDIRECT(ADDRESS(ROW(B9)-1,COLUMN(B9),4))+1)</f>
        <v>1</v>
      </c>
      <c r="C9" s="12" t="s">
        <v>24</v>
      </c>
      <c r="D9" s="13" t="s">
        <v>247</v>
      </c>
      <c r="E9" s="13" t="s">
        <v>370</v>
      </c>
      <c r="F9" s="13" t="s">
        <v>302</v>
      </c>
      <c r="G9" s="13" t="s">
        <v>206</v>
      </c>
      <c r="H9" s="13" t="s">
        <v>416</v>
      </c>
      <c r="I9" s="14" t="s">
        <v>74</v>
      </c>
    </row>
  </sheetData>
  <mergeCells count="5">
    <mergeCell ref="A1:B1"/>
    <mergeCell ref="A2:B3"/>
    <mergeCell ref="C2:C3"/>
    <mergeCell ref="A5:I5"/>
    <mergeCell ref="A6:I6"/>
  </mergeCells>
  <phoneticPr fontId="2"/>
  <conditionalFormatting sqref="B9">
    <cfRule type="expression" dxfId="14" priority="1">
      <formula>B9&lt;&gt;""</formula>
    </cfRule>
  </conditionalFormatting>
  <dataValidations count="2">
    <dataValidation type="list" allowBlank="1" showInputMessage="1" showErrorMessage="1" sqref="C9" xr:uid="{00000000-0002-0000-0A00-000000000000}">
      <formula1>"正常,クライアントエラー,サーバーエラー"</formula1>
    </dataValidation>
    <dataValidation type="list" allowBlank="1" showInputMessage="1" showErrorMessage="1" sqref="I9" xr:uid="{00000000-0002-0000-0A00-000001000000}">
      <formula1>"Selenium:○,Seleniumu:△,Selenium:×,JUnit:○,JUnit:△,Junit:×,手動実行,机上"</formula1>
    </dataValidation>
  </dataValidations>
  <hyperlinks>
    <hyperlink ref="A2" location="大中項目!A1" display="目次へ" xr:uid="{00000000-0004-0000-0A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14"/>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1.77734375" customWidth="1"/>
    <col min="7" max="7" width="25.44140625" bestFit="1" customWidth="1"/>
    <col min="8" max="8" width="42"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COUNTA($D$9:$D$65496)</f>
        <v>6</v>
      </c>
      <c r="D2" s="16" t="str">
        <f>大中項目!B1</f>
        <v>RSCL</v>
      </c>
      <c r="E2" s="16" t="str" cm="1">
        <f t="array" aca="1" ref="E2" ca="1">MID(CELL("filename", A1), FIND("]", CELL("filename", A1)) + 1, 255)</f>
        <v>RSCL10</v>
      </c>
      <c r="F2" s="9"/>
      <c r="G2" s="9"/>
      <c r="H2" s="8"/>
    </row>
    <row r="3" spans="1:9" x14ac:dyDescent="0.2">
      <c r="A3" s="46"/>
      <c r="B3" s="47"/>
      <c r="C3" s="49"/>
      <c r="D3" s="16" t="str">
        <f>大中項目!B2</f>
        <v>RESTクライアント</v>
      </c>
      <c r="E3" s="16" t="str">
        <f ca="1">INDEX(大中項目!B:B, MATCH(E2, 大中項目!A:A, 0))</f>
        <v>ファイルダウンロード（RestTemplate）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61.4" customHeight="1" x14ac:dyDescent="0.2">
      <c r="A9" s="25" t="s">
        <v>41</v>
      </c>
      <c r="B9" s="17">
        <f t="shared" ref="B9:B14" ca="1" si="0">IF(A9&lt;&gt;"",1,INDIRECT(ADDRESS(ROW(B9)-1,COLUMN(B9),4))+1)</f>
        <v>1</v>
      </c>
      <c r="C9" s="12" t="s">
        <v>24</v>
      </c>
      <c r="D9" s="13" t="s">
        <v>248</v>
      </c>
      <c r="E9" s="13" t="s">
        <v>370</v>
      </c>
      <c r="F9" s="13" t="s">
        <v>252</v>
      </c>
      <c r="G9" s="13" t="s">
        <v>206</v>
      </c>
      <c r="H9" s="13" t="s">
        <v>417</v>
      </c>
      <c r="I9" s="14" t="s">
        <v>74</v>
      </c>
    </row>
    <row r="10" spans="1:9" ht="170.4" customHeight="1" x14ac:dyDescent="0.2">
      <c r="A10" s="25" t="s">
        <v>254</v>
      </c>
      <c r="B10" s="17">
        <f t="shared" ca="1" si="0"/>
        <v>1</v>
      </c>
      <c r="C10" s="12" t="s">
        <v>24</v>
      </c>
      <c r="D10" s="13" t="s">
        <v>249</v>
      </c>
      <c r="E10" s="13" t="s">
        <v>370</v>
      </c>
      <c r="F10" s="13" t="s">
        <v>253</v>
      </c>
      <c r="G10" s="13" t="s">
        <v>206</v>
      </c>
      <c r="H10" s="13" t="s">
        <v>343</v>
      </c>
      <c r="I10" s="14" t="s">
        <v>74</v>
      </c>
    </row>
    <row r="11" spans="1:9" ht="166.2" customHeight="1" x14ac:dyDescent="0.2">
      <c r="A11" s="25" t="s">
        <v>255</v>
      </c>
      <c r="B11" s="17">
        <f t="shared" ca="1" si="0"/>
        <v>1</v>
      </c>
      <c r="C11" s="12" t="s">
        <v>24</v>
      </c>
      <c r="D11" s="13" t="s">
        <v>250</v>
      </c>
      <c r="E11" s="13" t="s">
        <v>370</v>
      </c>
      <c r="F11" s="13" t="s">
        <v>251</v>
      </c>
      <c r="G11" s="13" t="s">
        <v>206</v>
      </c>
      <c r="H11" s="13" t="s">
        <v>343</v>
      </c>
      <c r="I11" s="14" t="s">
        <v>74</v>
      </c>
    </row>
    <row r="12" spans="1:9" ht="166.2" customHeight="1" x14ac:dyDescent="0.2">
      <c r="A12" s="25" t="s">
        <v>256</v>
      </c>
      <c r="B12" s="17">
        <f t="shared" ca="1" si="0"/>
        <v>1</v>
      </c>
      <c r="C12" s="12" t="s">
        <v>60</v>
      </c>
      <c r="D12" s="13" t="s">
        <v>337</v>
      </c>
      <c r="E12" s="13" t="s">
        <v>370</v>
      </c>
      <c r="F12" s="13" t="s">
        <v>338</v>
      </c>
      <c r="G12" s="13" t="s">
        <v>206</v>
      </c>
      <c r="H12" s="13" t="s">
        <v>344</v>
      </c>
      <c r="I12" s="14" t="s">
        <v>74</v>
      </c>
    </row>
    <row r="13" spans="1:9" ht="162" customHeight="1" x14ac:dyDescent="0.2">
      <c r="A13" s="25" t="s">
        <v>339</v>
      </c>
      <c r="B13" s="17">
        <f t="shared" ca="1" si="0"/>
        <v>1</v>
      </c>
      <c r="C13" s="12" t="s">
        <v>24</v>
      </c>
      <c r="D13" s="13" t="s">
        <v>341</v>
      </c>
      <c r="E13" s="13" t="s">
        <v>370</v>
      </c>
      <c r="F13" s="13" t="s">
        <v>251</v>
      </c>
      <c r="G13" s="13" t="s">
        <v>206</v>
      </c>
      <c r="H13" s="13" t="s">
        <v>418</v>
      </c>
      <c r="I13" s="14" t="s">
        <v>74</v>
      </c>
    </row>
    <row r="14" spans="1:9" ht="162" customHeight="1" x14ac:dyDescent="0.2">
      <c r="A14" s="25" t="s">
        <v>340</v>
      </c>
      <c r="B14" s="17">
        <f t="shared" ca="1" si="0"/>
        <v>1</v>
      </c>
      <c r="C14" s="12" t="s">
        <v>60</v>
      </c>
      <c r="D14" s="13" t="s">
        <v>342</v>
      </c>
      <c r="E14" s="13" t="s">
        <v>370</v>
      </c>
      <c r="F14" s="13" t="s">
        <v>338</v>
      </c>
      <c r="G14" s="13" t="s">
        <v>206</v>
      </c>
      <c r="H14" s="13" t="s">
        <v>344</v>
      </c>
      <c r="I14" s="14" t="s">
        <v>74</v>
      </c>
    </row>
  </sheetData>
  <mergeCells count="5">
    <mergeCell ref="A1:B1"/>
    <mergeCell ref="A2:B3"/>
    <mergeCell ref="C2:C3"/>
    <mergeCell ref="A5:I5"/>
    <mergeCell ref="A6:I6"/>
  </mergeCells>
  <phoneticPr fontId="2"/>
  <conditionalFormatting sqref="B9:B14">
    <cfRule type="expression" dxfId="13" priority="1">
      <formula>B9&lt;&gt;""</formula>
    </cfRule>
  </conditionalFormatting>
  <dataValidations count="2">
    <dataValidation type="list" allowBlank="1" showInputMessage="1" showErrorMessage="1" sqref="I9:I14" xr:uid="{00000000-0002-0000-0B00-000000000000}">
      <formula1>"Selenium:○,Seleniumu:△,Selenium:×,JUnit:○,JUnit:△,Junit:×,手動実行,机上"</formula1>
    </dataValidation>
    <dataValidation type="list" allowBlank="1" showInputMessage="1" showErrorMessage="1" sqref="C9:C14" xr:uid="{00000000-0002-0000-0B00-000001000000}">
      <formula1>"正常,クライアントエラー,サーバーエラー"</formula1>
    </dataValidation>
  </dataValidations>
  <hyperlinks>
    <hyperlink ref="A2" location="大中項目!A1" display="目次へ" xr:uid="{00000000-0004-0000-0B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10"/>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5.77734375" customWidth="1"/>
    <col min="7" max="7" width="25.44140625" bestFit="1" customWidth="1"/>
    <col min="8" max="8" width="45.77734375"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COUNTA($D$9:$D$65491)</f>
        <v>2</v>
      </c>
      <c r="D2" s="16" t="str">
        <f>大中項目!B1</f>
        <v>RSCL</v>
      </c>
      <c r="E2" s="16" t="str" cm="1">
        <f t="array" aca="1" ref="E2" ca="1">MID(CELL("filename", A1), FIND("]", CELL("filename", A1)) + 1, 255)</f>
        <v>RSCL11</v>
      </c>
      <c r="F2" s="9"/>
      <c r="G2" s="9"/>
      <c r="H2" s="8"/>
    </row>
    <row r="3" spans="1:9" x14ac:dyDescent="0.2">
      <c r="A3" s="46"/>
      <c r="B3" s="47"/>
      <c r="C3" s="49"/>
      <c r="D3" s="16" t="str">
        <f>大中項目!B2</f>
        <v>RESTクライアント</v>
      </c>
      <c r="E3" s="39" t="str">
        <f ca="1">INDEX(大中項目!B:B, MATCH(E2, 大中項目!A:A, 0))</f>
        <v>レスポンス情報の取得、リクエスト情報の設定（RestTemplate）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15.2" customHeight="1" x14ac:dyDescent="0.2">
      <c r="A9" s="25" t="s">
        <v>47</v>
      </c>
      <c r="B9" s="17">
        <f ca="1">IF(A9&lt;&gt;"",1,INDIRECT(ADDRESS(ROW(B9)-1,COLUMN(B9),4))+1)</f>
        <v>1</v>
      </c>
      <c r="C9" s="12" t="s">
        <v>24</v>
      </c>
      <c r="D9" s="13" t="s">
        <v>356</v>
      </c>
      <c r="E9" s="13" t="s">
        <v>370</v>
      </c>
      <c r="F9" s="13" t="s">
        <v>59</v>
      </c>
      <c r="G9" s="13" t="s">
        <v>206</v>
      </c>
      <c r="H9" s="13" t="s">
        <v>419</v>
      </c>
      <c r="I9" s="14" t="s">
        <v>74</v>
      </c>
    </row>
    <row r="10" spans="1:9" ht="150.6" customHeight="1" x14ac:dyDescent="0.2">
      <c r="A10" s="25" t="s">
        <v>46</v>
      </c>
      <c r="B10" s="17">
        <f t="shared" ref="B10" ca="1" si="0">IF(A10&lt;&gt;"",1,INDIRECT(ADDRESS(ROW(B10)-1,COLUMN(B10),4))+1)</f>
        <v>1</v>
      </c>
      <c r="C10" s="12" t="s">
        <v>24</v>
      </c>
      <c r="D10" s="13" t="s">
        <v>357</v>
      </c>
      <c r="E10" s="13" t="s">
        <v>370</v>
      </c>
      <c r="F10" s="13" t="s">
        <v>259</v>
      </c>
      <c r="G10" s="13" t="s">
        <v>206</v>
      </c>
      <c r="H10" s="13" t="s">
        <v>420</v>
      </c>
      <c r="I10" s="14" t="s">
        <v>74</v>
      </c>
    </row>
  </sheetData>
  <mergeCells count="5">
    <mergeCell ref="A1:B1"/>
    <mergeCell ref="A2:B3"/>
    <mergeCell ref="C2:C3"/>
    <mergeCell ref="A5:I5"/>
    <mergeCell ref="A6:I6"/>
  </mergeCells>
  <phoneticPr fontId="2"/>
  <conditionalFormatting sqref="B9:B10">
    <cfRule type="expression" dxfId="12" priority="1">
      <formula>B9&lt;&gt;""</formula>
    </cfRule>
  </conditionalFormatting>
  <dataValidations count="2">
    <dataValidation type="list" allowBlank="1" showInputMessage="1" showErrorMessage="1" sqref="C9:C10" xr:uid="{00000000-0002-0000-0C00-000000000000}">
      <formula1>"正常,クライアントエラー,サーバーエラー"</formula1>
    </dataValidation>
    <dataValidation type="list" allowBlank="1" showInputMessage="1" showErrorMessage="1" sqref="I9:I10" xr:uid="{00000000-0002-0000-0C00-000001000000}">
      <formula1>"Selenium:○,Seleniumu:△,Selenium:×,JUnit:○,JUnit:△,Junit:×,手動実行,机上"</formula1>
    </dataValidation>
  </dataValidations>
  <hyperlinks>
    <hyperlink ref="A2" location="大中項目!A1" display="目次へ" xr:uid="{00000000-0004-0000-0C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11"/>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1.77734375" customWidth="1"/>
    <col min="7" max="7" width="26.33203125" bestFit="1" customWidth="1"/>
    <col min="8" max="8" width="42"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COUNTA($D$9:$D$65495)</f>
        <v>3</v>
      </c>
      <c r="D2" s="16" t="str">
        <f>大中項目!B1</f>
        <v>RSCL</v>
      </c>
      <c r="E2" s="16" t="str" cm="1">
        <f t="array" aca="1" ref="E2" ca="1">MID(CELL("filename", A1), FIND("]", CELL("filename", A1)) + 1, 255)</f>
        <v>RSCL12</v>
      </c>
      <c r="F2" s="9"/>
      <c r="G2" s="9"/>
      <c r="H2" s="8"/>
    </row>
    <row r="3" spans="1:9" x14ac:dyDescent="0.2">
      <c r="A3" s="46"/>
      <c r="B3" s="47"/>
      <c r="C3" s="49"/>
      <c r="D3" s="16" t="str">
        <f>大中項目!B2</f>
        <v>RESTクライアント</v>
      </c>
      <c r="E3" s="16" t="str">
        <f ca="1">INDEX(大中項目!B:B, MATCH(E2, 大中項目!A:A, 0))</f>
        <v>個別のリクエストヘッダの設定（RestTemplate）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33.80000000000001" customHeight="1" x14ac:dyDescent="0.2">
      <c r="A9" s="25" t="s">
        <v>49</v>
      </c>
      <c r="B9" s="17">
        <f ca="1">IF(A9&lt;&gt;"",1,INDIRECT(ADDRESS(ROW(B9)-1,COLUMN(B9),4))+1)</f>
        <v>1</v>
      </c>
      <c r="C9" s="12" t="s">
        <v>24</v>
      </c>
      <c r="D9" s="13" t="s">
        <v>260</v>
      </c>
      <c r="E9" s="13" t="s">
        <v>370</v>
      </c>
      <c r="F9" s="13" t="s">
        <v>263</v>
      </c>
      <c r="G9" s="13" t="s">
        <v>266</v>
      </c>
      <c r="H9" s="13" t="s">
        <v>421</v>
      </c>
      <c r="I9" s="14" t="s">
        <v>74</v>
      </c>
    </row>
    <row r="10" spans="1:9" ht="125.4" customHeight="1" x14ac:dyDescent="0.2">
      <c r="A10" s="25" t="s">
        <v>50</v>
      </c>
      <c r="B10" s="17">
        <f t="shared" ref="B10" ca="1" si="0">IF(A10&lt;&gt;"",1,INDIRECT(ADDRESS(ROW(B10)-1,COLUMN(B10),4))+1)</f>
        <v>1</v>
      </c>
      <c r="C10" s="12" t="s">
        <v>24</v>
      </c>
      <c r="D10" s="13" t="s">
        <v>261</v>
      </c>
      <c r="E10" s="13" t="s">
        <v>370</v>
      </c>
      <c r="F10" s="13" t="s">
        <v>264</v>
      </c>
      <c r="G10" s="13" t="s">
        <v>206</v>
      </c>
      <c r="H10" s="13" t="s">
        <v>422</v>
      </c>
      <c r="I10" s="14" t="s">
        <v>74</v>
      </c>
    </row>
    <row r="11" spans="1:9" ht="124.2" customHeight="1" x14ac:dyDescent="0.2">
      <c r="A11" s="25" t="s">
        <v>268</v>
      </c>
      <c r="B11" s="17">
        <f t="shared" ref="B11" ca="1" si="1">IF(A11&lt;&gt;"",1,INDIRECT(ADDRESS(ROW(B11)-1,COLUMN(B11),4))+1)</f>
        <v>1</v>
      </c>
      <c r="C11" s="12" t="s">
        <v>24</v>
      </c>
      <c r="D11" s="13" t="s">
        <v>262</v>
      </c>
      <c r="E11" s="13" t="s">
        <v>370</v>
      </c>
      <c r="F11" s="13" t="s">
        <v>265</v>
      </c>
      <c r="G11" s="13" t="s">
        <v>206</v>
      </c>
      <c r="H11" s="13" t="s">
        <v>423</v>
      </c>
      <c r="I11" s="14" t="s">
        <v>74</v>
      </c>
    </row>
  </sheetData>
  <mergeCells count="5">
    <mergeCell ref="A1:B1"/>
    <mergeCell ref="A2:B3"/>
    <mergeCell ref="C2:C3"/>
    <mergeCell ref="A5:I5"/>
    <mergeCell ref="A6:I6"/>
  </mergeCells>
  <phoneticPr fontId="2"/>
  <conditionalFormatting sqref="A10:B11">
    <cfRule type="expression" dxfId="11" priority="1">
      <formula>A10&lt;&gt;""</formula>
    </cfRule>
  </conditionalFormatting>
  <conditionalFormatting sqref="B9">
    <cfRule type="expression" dxfId="10" priority="2">
      <formula>B9&lt;&gt;""</formula>
    </cfRule>
  </conditionalFormatting>
  <dataValidations count="2">
    <dataValidation type="list" allowBlank="1" showInputMessage="1" showErrorMessage="1" sqref="I9:I11" xr:uid="{00000000-0002-0000-0D00-000000000000}">
      <formula1>"Selenium:○,Seleniumu:△,Selenium:×,JUnit:○,JUnit:△,Junit:×,手動実行,机上"</formula1>
    </dataValidation>
    <dataValidation type="list" allowBlank="1" showInputMessage="1" showErrorMessage="1" sqref="C9:C11" xr:uid="{00000000-0002-0000-0D00-000001000000}">
      <formula1>"正常,クライアントエラー,サーバーエラー"</formula1>
    </dataValidation>
  </dataValidations>
  <hyperlinks>
    <hyperlink ref="A2" location="大中項目!A1" display="目次へ" xr:uid="{00000000-0004-0000-0D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9"/>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4.77734375" customWidth="1"/>
    <col min="7" max="7" width="26.33203125" bestFit="1" customWidth="1"/>
    <col min="8" max="8" width="44.77734375"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COUNTA($D$9:$D$65488)</f>
        <v>1</v>
      </c>
      <c r="D2" s="16" t="str">
        <f>大中項目!B1</f>
        <v>RSCL</v>
      </c>
      <c r="E2" s="16" t="str" cm="1">
        <f t="array" aca="1" ref="E2" ca="1">MID(CELL("filename", A1), FIND("]", CELL("filename", A1)) + 1, 255)</f>
        <v>RSCL13</v>
      </c>
      <c r="F2" s="9"/>
      <c r="G2" s="9"/>
      <c r="H2" s="8"/>
    </row>
    <row r="3" spans="1:9" x14ac:dyDescent="0.2">
      <c r="A3" s="46"/>
      <c r="B3" s="47"/>
      <c r="C3" s="49"/>
      <c r="D3" s="16" t="str">
        <f>大中項目!B2</f>
        <v>RESTクライアント</v>
      </c>
      <c r="E3" s="39" t="str">
        <f ca="1">INDEX(大中項目!B:B, MATCH(E2, 大中項目!A:A, 0))</f>
        <v>埋め込みパラメータのカスタマイズ設定（RestTemplate）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95.6" customHeight="1" x14ac:dyDescent="0.2">
      <c r="A9" s="25" t="s">
        <v>51</v>
      </c>
      <c r="B9" s="17">
        <f ca="1">IF(A9&lt;&gt;"",1,INDIRECT(ADDRESS(ROW(B9)-1,COLUMN(B9),4))+1)</f>
        <v>1</v>
      </c>
      <c r="C9" s="12" t="s">
        <v>24</v>
      </c>
      <c r="D9" s="13" t="s">
        <v>358</v>
      </c>
      <c r="E9" s="13" t="s">
        <v>378</v>
      </c>
      <c r="F9" s="13" t="s">
        <v>267</v>
      </c>
      <c r="G9" s="13" t="s">
        <v>206</v>
      </c>
      <c r="H9" s="13" t="s">
        <v>424</v>
      </c>
      <c r="I9" s="14" t="s">
        <v>74</v>
      </c>
    </row>
  </sheetData>
  <mergeCells count="5">
    <mergeCell ref="A1:B1"/>
    <mergeCell ref="A2:B3"/>
    <mergeCell ref="C2:C3"/>
    <mergeCell ref="A5:I5"/>
    <mergeCell ref="A6:I6"/>
  </mergeCells>
  <phoneticPr fontId="2"/>
  <conditionalFormatting sqref="B9">
    <cfRule type="expression" dxfId="9" priority="5">
      <formula>B9&lt;&gt;""</formula>
    </cfRule>
  </conditionalFormatting>
  <dataValidations count="2">
    <dataValidation type="list" allowBlank="1" showInputMessage="1" showErrorMessage="1" sqref="C9" xr:uid="{00000000-0002-0000-0E00-000000000000}">
      <formula1>"正常,クライアントエラー,サーバーエラー"</formula1>
    </dataValidation>
    <dataValidation type="list" allowBlank="1" showInputMessage="1" showErrorMessage="1" sqref="I9" xr:uid="{00000000-0002-0000-0E00-000001000000}">
      <formula1>"Selenium:○,Seleniumu:△,Selenium:×,JUnit:○,JUnit:△,Junit:×,手動実行,机上"</formula1>
    </dataValidation>
  </dataValidations>
  <hyperlinks>
    <hyperlink ref="A2" location="大中項目!A1" display="目次へ" xr:uid="{00000000-0004-0000-0E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37"/>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COUNTA($D$9:$D$65495)</f>
        <v>6</v>
      </c>
      <c r="D2" s="16" t="str">
        <f>大中項目!B1</f>
        <v>RSCL</v>
      </c>
      <c r="E2" s="16" t="str" cm="1">
        <f t="array" aca="1" ref="E2" ca="1">MID(CELL("filename", A1), FIND("]", CELL("filename", A1)) + 1, 255)</f>
        <v>RSCL14</v>
      </c>
      <c r="F2" s="9"/>
      <c r="G2" s="9"/>
      <c r="H2" s="8"/>
    </row>
    <row r="3" spans="1:9" x14ac:dyDescent="0.2">
      <c r="A3" s="46"/>
      <c r="B3" s="47"/>
      <c r="C3" s="49"/>
      <c r="D3" s="16" t="str">
        <f>大中項目!B2</f>
        <v>RESTクライアント</v>
      </c>
      <c r="E3" s="16" t="str">
        <f ca="1">INDEX(大中項目!B:B, MATCH(E2, 大中項目!A:A, 0))</f>
        <v>SSL自己署名証明書とSSL通信（RestTemplate）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92.4" x14ac:dyDescent="0.2">
      <c r="A9" s="25" t="s">
        <v>73</v>
      </c>
      <c r="B9" s="17">
        <f t="shared" ref="B9:B14" ca="1" si="0">IF(A9&lt;&gt;"",1,INDIRECT(ADDRESS(ROW(B9)-1,COLUMN(B9),4))+1)</f>
        <v>1</v>
      </c>
      <c r="C9" s="12" t="s">
        <v>24</v>
      </c>
      <c r="D9" s="13" t="s">
        <v>69</v>
      </c>
      <c r="E9" s="13" t="s">
        <v>379</v>
      </c>
      <c r="F9" s="13" t="s">
        <v>380</v>
      </c>
      <c r="G9" s="13" t="s">
        <v>59</v>
      </c>
      <c r="H9" s="13" t="s">
        <v>82</v>
      </c>
      <c r="I9" s="14" t="s">
        <v>74</v>
      </c>
    </row>
    <row r="10" spans="1:9" ht="132" x14ac:dyDescent="0.2">
      <c r="A10" s="25" t="s">
        <v>72</v>
      </c>
      <c r="B10" s="17">
        <f t="shared" ca="1" si="0"/>
        <v>1</v>
      </c>
      <c r="C10" s="12" t="s">
        <v>24</v>
      </c>
      <c r="D10" s="13" t="s">
        <v>78</v>
      </c>
      <c r="E10" s="13" t="s">
        <v>301</v>
      </c>
      <c r="F10" s="13" t="s">
        <v>301</v>
      </c>
      <c r="G10" s="13" t="s">
        <v>301</v>
      </c>
      <c r="H10" s="13" t="s">
        <v>84</v>
      </c>
      <c r="I10" s="14" t="s">
        <v>74</v>
      </c>
    </row>
    <row r="11" spans="1:9" ht="145.19999999999999" x14ac:dyDescent="0.2">
      <c r="A11" s="25" t="s">
        <v>269</v>
      </c>
      <c r="B11" s="17">
        <f t="shared" ca="1" si="0"/>
        <v>1</v>
      </c>
      <c r="C11" s="12" t="s">
        <v>24</v>
      </c>
      <c r="D11" s="13" t="s">
        <v>79</v>
      </c>
      <c r="E11" s="13" t="s">
        <v>301</v>
      </c>
      <c r="F11" s="13" t="s">
        <v>301</v>
      </c>
      <c r="G11" s="13" t="s">
        <v>301</v>
      </c>
      <c r="H11" s="13" t="s">
        <v>85</v>
      </c>
      <c r="I11" s="14" t="s">
        <v>74</v>
      </c>
    </row>
    <row r="12" spans="1:9" ht="184.8" x14ac:dyDescent="0.2">
      <c r="A12" s="25" t="s">
        <v>270</v>
      </c>
      <c r="B12" s="17">
        <f t="shared" ca="1" si="0"/>
        <v>1</v>
      </c>
      <c r="C12" s="12" t="s">
        <v>24</v>
      </c>
      <c r="D12" s="13" t="s">
        <v>80</v>
      </c>
      <c r="E12" s="13" t="s">
        <v>301</v>
      </c>
      <c r="F12" s="13" t="s">
        <v>301</v>
      </c>
      <c r="G12" s="13" t="s">
        <v>301</v>
      </c>
      <c r="H12" s="13" t="s">
        <v>86</v>
      </c>
      <c r="I12" s="14" t="s">
        <v>74</v>
      </c>
    </row>
    <row r="13" spans="1:9" ht="158.4" x14ac:dyDescent="0.2">
      <c r="A13" s="25" t="s">
        <v>271</v>
      </c>
      <c r="B13" s="17">
        <f t="shared" ca="1" si="0"/>
        <v>1</v>
      </c>
      <c r="C13" s="12" t="s">
        <v>24</v>
      </c>
      <c r="D13" s="13" t="s">
        <v>81</v>
      </c>
      <c r="E13" s="13" t="s">
        <v>301</v>
      </c>
      <c r="F13" s="13" t="s">
        <v>301</v>
      </c>
      <c r="G13" s="13" t="s">
        <v>301</v>
      </c>
      <c r="H13" s="13" t="s">
        <v>88</v>
      </c>
      <c r="I13" s="14" t="s">
        <v>74</v>
      </c>
    </row>
    <row r="14" spans="1:9" ht="356.4" x14ac:dyDescent="0.2">
      <c r="A14" s="25" t="s">
        <v>272</v>
      </c>
      <c r="B14" s="17">
        <f t="shared" ca="1" si="0"/>
        <v>1</v>
      </c>
      <c r="C14" s="12" t="s">
        <v>24</v>
      </c>
      <c r="D14" s="13" t="s">
        <v>452</v>
      </c>
      <c r="E14" s="13" t="s">
        <v>301</v>
      </c>
      <c r="F14" s="13" t="s">
        <v>301</v>
      </c>
      <c r="G14" s="13" t="s">
        <v>301</v>
      </c>
      <c r="H14" s="13" t="s">
        <v>87</v>
      </c>
      <c r="I14" s="14" t="s">
        <v>74</v>
      </c>
    </row>
    <row r="18" spans="2:6" x14ac:dyDescent="0.2">
      <c r="B18" t="s">
        <v>70</v>
      </c>
    </row>
    <row r="19" spans="2:6" x14ac:dyDescent="0.2">
      <c r="B19" s="56" t="s">
        <v>71</v>
      </c>
      <c r="C19" s="57"/>
      <c r="D19" s="57"/>
      <c r="E19" s="57"/>
      <c r="F19" s="57"/>
    </row>
    <row r="20" spans="2:6" x14ac:dyDescent="0.2">
      <c r="B20" s="57"/>
      <c r="C20" s="57"/>
      <c r="D20" s="57"/>
      <c r="E20" s="57"/>
      <c r="F20" s="57"/>
    </row>
    <row r="21" spans="2:6" x14ac:dyDescent="0.2">
      <c r="B21" s="57"/>
      <c r="C21" s="57"/>
      <c r="D21" s="57"/>
      <c r="E21" s="57"/>
      <c r="F21" s="57"/>
    </row>
    <row r="22" spans="2:6" x14ac:dyDescent="0.2">
      <c r="B22" s="57"/>
      <c r="C22" s="57"/>
      <c r="D22" s="57"/>
      <c r="E22" s="57"/>
      <c r="F22" s="57"/>
    </row>
    <row r="23" spans="2:6" x14ac:dyDescent="0.2">
      <c r="B23" s="57"/>
      <c r="C23" s="57"/>
      <c r="D23" s="57"/>
      <c r="E23" s="57"/>
      <c r="F23" s="57"/>
    </row>
    <row r="24" spans="2:6" x14ac:dyDescent="0.2">
      <c r="B24" s="57"/>
      <c r="C24" s="57"/>
      <c r="D24" s="57"/>
      <c r="E24" s="57"/>
      <c r="F24" s="57"/>
    </row>
    <row r="25" spans="2:6" x14ac:dyDescent="0.2">
      <c r="B25" s="57"/>
      <c r="C25" s="57"/>
      <c r="D25" s="57"/>
      <c r="E25" s="57"/>
      <c r="F25" s="57"/>
    </row>
    <row r="26" spans="2:6" x14ac:dyDescent="0.2">
      <c r="B26" s="57"/>
      <c r="C26" s="57"/>
      <c r="D26" s="57"/>
      <c r="E26" s="57"/>
      <c r="F26" s="57"/>
    </row>
    <row r="27" spans="2:6" x14ac:dyDescent="0.2">
      <c r="B27" s="57"/>
      <c r="C27" s="57"/>
      <c r="D27" s="57"/>
      <c r="E27" s="57"/>
      <c r="F27" s="57"/>
    </row>
    <row r="28" spans="2:6" x14ac:dyDescent="0.2">
      <c r="B28" s="57"/>
      <c r="C28" s="57"/>
      <c r="D28" s="57"/>
      <c r="E28" s="57"/>
      <c r="F28" s="57"/>
    </row>
    <row r="29" spans="2:6" x14ac:dyDescent="0.2">
      <c r="B29" s="57"/>
      <c r="C29" s="57"/>
      <c r="D29" s="57"/>
      <c r="E29" s="57"/>
      <c r="F29" s="57"/>
    </row>
    <row r="30" spans="2:6" x14ac:dyDescent="0.2">
      <c r="B30" s="57"/>
      <c r="C30" s="57"/>
      <c r="D30" s="57"/>
      <c r="E30" s="57"/>
      <c r="F30" s="57"/>
    </row>
    <row r="31" spans="2:6" x14ac:dyDescent="0.2">
      <c r="B31" s="57"/>
      <c r="C31" s="57"/>
      <c r="D31" s="57"/>
      <c r="E31" s="57"/>
      <c r="F31" s="57"/>
    </row>
    <row r="32" spans="2:6" x14ac:dyDescent="0.2">
      <c r="B32" s="57"/>
      <c r="C32" s="57"/>
      <c r="D32" s="57"/>
      <c r="E32" s="57"/>
      <c r="F32" s="57"/>
    </row>
    <row r="33" spans="2:6" x14ac:dyDescent="0.2">
      <c r="B33" s="57"/>
      <c r="C33" s="57"/>
      <c r="D33" s="57"/>
      <c r="E33" s="57"/>
      <c r="F33" s="57"/>
    </row>
    <row r="34" spans="2:6" x14ac:dyDescent="0.2">
      <c r="B34" s="57"/>
      <c r="C34" s="57"/>
      <c r="D34" s="57"/>
      <c r="E34" s="57"/>
      <c r="F34" s="57"/>
    </row>
    <row r="35" spans="2:6" x14ac:dyDescent="0.2">
      <c r="B35" s="57"/>
      <c r="C35" s="57"/>
      <c r="D35" s="57"/>
      <c r="E35" s="57"/>
      <c r="F35" s="57"/>
    </row>
    <row r="36" spans="2:6" x14ac:dyDescent="0.2">
      <c r="B36" s="57"/>
      <c r="C36" s="57"/>
      <c r="D36" s="57"/>
      <c r="E36" s="57"/>
      <c r="F36" s="57"/>
    </row>
    <row r="37" spans="2:6" x14ac:dyDescent="0.2">
      <c r="B37" s="57"/>
      <c r="C37" s="57"/>
      <c r="D37" s="57"/>
      <c r="E37" s="57"/>
      <c r="F37" s="57"/>
    </row>
  </sheetData>
  <mergeCells count="6">
    <mergeCell ref="B19:F37"/>
    <mergeCell ref="A1:B1"/>
    <mergeCell ref="A2:B3"/>
    <mergeCell ref="C2:C3"/>
    <mergeCell ref="A5:I5"/>
    <mergeCell ref="A6:I6"/>
  </mergeCells>
  <phoneticPr fontId="2"/>
  <conditionalFormatting sqref="B9:B14">
    <cfRule type="expression" dxfId="8" priority="1">
      <formula>B9&lt;&gt;""</formula>
    </cfRule>
  </conditionalFormatting>
  <dataValidations count="2">
    <dataValidation type="list" allowBlank="1" showInputMessage="1" showErrorMessage="1" sqref="I9:I14" xr:uid="{00000000-0002-0000-0700-000000000000}">
      <formula1>"Selenium:○,Seleniumu:△,Selenium:×,JUnit:○,JUnit:△,Junit:×,手動実行,机上"</formula1>
    </dataValidation>
    <dataValidation type="list" allowBlank="1" showInputMessage="1" showErrorMessage="1" sqref="C9:C14" xr:uid="{00000000-0002-0000-0700-000001000000}">
      <formula1>"正常,クライアントエラー,サーバーエラー"</formula1>
    </dataValidation>
  </dataValidations>
  <hyperlinks>
    <hyperlink ref="A2" location="大中項目!A1" display="目次へ" xr:uid="{00000000-0004-0000-07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5A7A6-F3CC-4BFE-964A-A6BCCC61105A}">
  <dimension ref="V3:V6"/>
  <sheetViews>
    <sheetView showGridLines="0" zoomScaleNormal="100" workbookViewId="0"/>
  </sheetViews>
  <sheetFormatPr defaultRowHeight="13.2" x14ac:dyDescent="0.2"/>
  <sheetData>
    <row r="3" spans="22:22" x14ac:dyDescent="0.2">
      <c r="V3" s="28"/>
    </row>
    <row r="4" spans="22:22" x14ac:dyDescent="0.2">
      <c r="V4" s="28"/>
    </row>
    <row r="5" spans="22:22" x14ac:dyDescent="0.2">
      <c r="V5" s="28"/>
    </row>
    <row r="6" spans="22:22" x14ac:dyDescent="0.2">
      <c r="V6" s="28"/>
    </row>
  </sheetData>
  <phoneticPr fontId="2"/>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0"/>
  <sheetViews>
    <sheetView showGridLines="0" zoomScaleNormal="100" workbookViewId="0">
      <pane ySplit="8" topLeftCell="A9" activePane="bottomLeft" state="frozen"/>
      <selection activeCell="C20" sqref="C20"/>
      <selection pane="bottomLeft" activeCell="A9" sqref="A9"/>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COUNTA($D$9:$D$65494)</f>
        <v>2</v>
      </c>
      <c r="D2" s="16" t="str">
        <f>大中項目!B1</f>
        <v>RSCL</v>
      </c>
      <c r="E2" s="16" t="str" cm="1">
        <f t="array" aca="1" ref="E2" ca="1">MID(CELL("filename", A1), FIND("]", CELL("filename", A1)) + 1, 255)</f>
        <v>RSCL16</v>
      </c>
      <c r="F2" s="9"/>
      <c r="G2" s="9"/>
      <c r="H2" s="8"/>
    </row>
    <row r="3" spans="1:9" x14ac:dyDescent="0.2">
      <c r="A3" s="46"/>
      <c r="B3" s="47"/>
      <c r="C3" s="49"/>
      <c r="D3" s="16" t="str">
        <f>大中項目!B2</f>
        <v>RESTクライアント</v>
      </c>
      <c r="E3" s="16" t="str">
        <f ca="1">INDEX(大中項目!B:B, MATCH(E2, 大中項目!A:A, 0))</f>
        <v>カスタムコンバータの設定（RestTemplate）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261.60000000000002" customHeight="1" x14ac:dyDescent="0.2">
      <c r="A9" s="25" t="s">
        <v>273</v>
      </c>
      <c r="B9" s="17">
        <f ca="1">IF(A9&lt;&gt;"",1,INDIRECT(ADDRESS(ROW(B9)-1,COLUMN(B9),4))+1)</f>
        <v>1</v>
      </c>
      <c r="C9" s="12" t="s">
        <v>24</v>
      </c>
      <c r="D9" s="13" t="s">
        <v>274</v>
      </c>
      <c r="E9" s="13" t="s">
        <v>381</v>
      </c>
      <c r="F9" s="13" t="s">
        <v>277</v>
      </c>
      <c r="G9" s="13" t="s">
        <v>206</v>
      </c>
      <c r="H9" s="13" t="s">
        <v>425</v>
      </c>
      <c r="I9" s="14" t="s">
        <v>74</v>
      </c>
    </row>
    <row r="10" spans="1:9" ht="180.6" customHeight="1" x14ac:dyDescent="0.2">
      <c r="A10" s="25" t="s">
        <v>276</v>
      </c>
      <c r="B10" s="17">
        <f ca="1">IF(A10&lt;&gt;"",1,INDIRECT(ADDRESS(ROW(B10)-1,COLUMN(B10),4))+1)</f>
        <v>1</v>
      </c>
      <c r="C10" s="12" t="s">
        <v>24</v>
      </c>
      <c r="D10" s="13" t="s">
        <v>275</v>
      </c>
      <c r="E10" s="13" t="s">
        <v>382</v>
      </c>
      <c r="F10" s="13" t="s">
        <v>278</v>
      </c>
      <c r="G10" s="13" t="s">
        <v>279</v>
      </c>
      <c r="H10" s="13" t="s">
        <v>426</v>
      </c>
      <c r="I10" s="14" t="s">
        <v>74</v>
      </c>
    </row>
  </sheetData>
  <mergeCells count="5">
    <mergeCell ref="A1:B1"/>
    <mergeCell ref="A2:B3"/>
    <mergeCell ref="C2:C3"/>
    <mergeCell ref="A5:I5"/>
    <mergeCell ref="A6:I6"/>
  </mergeCells>
  <phoneticPr fontId="2"/>
  <conditionalFormatting sqref="B9:B10">
    <cfRule type="expression" dxfId="7" priority="1">
      <formula>B9&lt;&gt;""</formula>
    </cfRule>
  </conditionalFormatting>
  <dataValidations count="2">
    <dataValidation type="list" allowBlank="1" showInputMessage="1" showErrorMessage="1" sqref="I9:I10" xr:uid="{00000000-0002-0000-0F00-000000000000}">
      <formula1>"Selenium:○,Seleniumu:△,Selenium:×,JUnit:○,JUnit:△,Junit:×,手動実行,机上"</formula1>
    </dataValidation>
    <dataValidation type="list" allowBlank="1" showInputMessage="1" showErrorMessage="1" sqref="C9:C10" xr:uid="{00000000-0002-0000-0F00-000001000000}">
      <formula1>"正常,クライアントエラー,サーバーエラー"</formula1>
    </dataValidation>
  </dataValidations>
  <hyperlinks>
    <hyperlink ref="A2" location="大中項目!A1" display="目次へ" xr:uid="{00000000-0004-0000-0F00-000000000000}"/>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64F69-6ECF-48B8-93F9-9C73DF21AED5}">
  <sheetPr>
    <pageSetUpPr fitToPage="1"/>
  </sheetPr>
  <dimension ref="A1:I10"/>
  <sheetViews>
    <sheetView showGridLines="0" zoomScaleNormal="100" workbookViewId="0">
      <pane ySplit="8" topLeftCell="A9" activePane="bottomLeft" state="frozen"/>
      <selection activeCell="C20" sqref="C20"/>
      <selection pane="bottomLeft" activeCell="A6" sqref="A6:I6"/>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COUNTA($D$9:$D$65494)</f>
        <v>2</v>
      </c>
      <c r="D2" s="16" t="str">
        <f>大中項目!B1</f>
        <v>RSCL</v>
      </c>
      <c r="E2" s="16" t="str" cm="1">
        <f t="array" aca="1" ref="E2" ca="1">MID(CELL("filename", A1), FIND("]", CELL("filename", A1)) + 1, 255)</f>
        <v>RSCL17</v>
      </c>
      <c r="F2" s="9"/>
      <c r="G2" s="9"/>
      <c r="H2" s="8"/>
    </row>
    <row r="3" spans="1:9" x14ac:dyDescent="0.2">
      <c r="A3" s="46"/>
      <c r="B3" s="47"/>
      <c r="C3" s="49"/>
      <c r="D3" s="16" t="str">
        <f>大中項目!B2</f>
        <v>RESTクライアント</v>
      </c>
      <c r="E3" s="39" t="str">
        <f ca="1">INDEX(大中項目!B:B, MATCH(E2, 大中項目!A:A, 0))</f>
        <v>リクエスト送信前後の共通処理設定（RestTemplate）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96.8" customHeight="1" x14ac:dyDescent="0.2">
      <c r="A9" s="25" t="s">
        <v>286</v>
      </c>
      <c r="B9" s="17">
        <f ca="1">IF(A9&lt;&gt;"",1,INDIRECT(ADDRESS(ROW(B9)-1,COLUMN(B9),4))+1)</f>
        <v>1</v>
      </c>
      <c r="C9" s="12" t="s">
        <v>24</v>
      </c>
      <c r="D9" s="13" t="s">
        <v>285</v>
      </c>
      <c r="E9" s="13" t="s">
        <v>383</v>
      </c>
      <c r="F9" s="13" t="s">
        <v>59</v>
      </c>
      <c r="G9" s="13" t="s">
        <v>287</v>
      </c>
      <c r="H9" s="13" t="s">
        <v>427</v>
      </c>
      <c r="I9" s="14" t="s">
        <v>74</v>
      </c>
    </row>
    <row r="10" spans="1:9" ht="196.8" customHeight="1" x14ac:dyDescent="0.2">
      <c r="A10" s="25" t="s">
        <v>454</v>
      </c>
      <c r="B10" s="17">
        <f ca="1">IF(A10&lt;&gt;"",1,INDIRECT(ADDRESS(ROW(B10)-1,COLUMN(B10),4))+1)</f>
        <v>1</v>
      </c>
      <c r="C10" s="12" t="s">
        <v>24</v>
      </c>
      <c r="D10" s="13" t="s">
        <v>455</v>
      </c>
      <c r="E10" s="13" t="s">
        <v>456</v>
      </c>
      <c r="F10" s="13" t="s">
        <v>59</v>
      </c>
      <c r="G10" s="13" t="s">
        <v>206</v>
      </c>
      <c r="H10" s="13" t="s">
        <v>457</v>
      </c>
      <c r="I10" s="14" t="s">
        <v>74</v>
      </c>
    </row>
  </sheetData>
  <mergeCells count="5">
    <mergeCell ref="A1:B1"/>
    <mergeCell ref="A2:B3"/>
    <mergeCell ref="C2:C3"/>
    <mergeCell ref="A5:I5"/>
    <mergeCell ref="A6:I6"/>
  </mergeCells>
  <phoneticPr fontId="2"/>
  <conditionalFormatting sqref="B9:B10">
    <cfRule type="expression" dxfId="6" priority="1">
      <formula>B9&lt;&gt;""</formula>
    </cfRule>
  </conditionalFormatting>
  <dataValidations count="2">
    <dataValidation type="list" allowBlank="1" showInputMessage="1" showErrorMessage="1" sqref="C9:C10" xr:uid="{06A8B3D6-0F3E-41F1-A6F2-C0500D17033E}">
      <formula1>"正常,クライアントエラー,サーバーエラー"</formula1>
    </dataValidation>
    <dataValidation type="list" allowBlank="1" showInputMessage="1" showErrorMessage="1" sqref="I9:I10" xr:uid="{E9F7F8D3-AB7D-4017-A4AA-71F523621E52}">
      <formula1>"Selenium:○,Seleniumu:△,Selenium:×,JUnit:○,JUnit:△,Junit:×,手動実行,机上"</formula1>
    </dataValidation>
  </dataValidations>
  <hyperlinks>
    <hyperlink ref="A2" location="大中項目!A1" display="目次へ" xr:uid="{E8677E68-1127-4111-90EF-A90CD6048DA4}"/>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17324-CE15-4BFE-A351-DA946AFC49E3}">
  <sheetPr>
    <pageSetUpPr fitToPage="1"/>
  </sheetPr>
  <dimension ref="A1:I10"/>
  <sheetViews>
    <sheetView showGridLines="0" zoomScaleNormal="100" workbookViewId="0">
      <pane ySplit="8" topLeftCell="A9" activePane="bottomLeft" state="frozen"/>
      <selection activeCell="C20" sqref="C20"/>
      <selection pane="bottomLeft" activeCell="A6" sqref="A6:I6"/>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COUNTA($D$9:$D$65493)</f>
        <v>2</v>
      </c>
      <c r="D2" s="16" t="str">
        <f>大中項目!B1</f>
        <v>RSCL</v>
      </c>
      <c r="E2" s="16" t="str" cm="1">
        <f t="array" aca="1" ref="E2" ca="1">MID(CELL("filename", A1), FIND("]", CELL("filename", A1)) + 1, 255)</f>
        <v>RSCL18</v>
      </c>
      <c r="F2" s="9"/>
      <c r="G2" s="9"/>
      <c r="H2" s="8"/>
    </row>
    <row r="3" spans="1:9" x14ac:dyDescent="0.2">
      <c r="A3" s="46"/>
      <c r="B3" s="47"/>
      <c r="C3" s="49"/>
      <c r="D3" s="16" t="str">
        <f>大中項目!B2</f>
        <v>RESTクライアント</v>
      </c>
      <c r="E3" s="39" t="str">
        <f ca="1">INDEX(大中項目!B:B, MATCH(E2, 大中項目!A:A, 0))</f>
        <v>RESTfulなURL(URIテンプレート)を扱う方法と実装（RestTemplate）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37.4" customHeight="1" x14ac:dyDescent="0.2">
      <c r="A9" s="25" t="s">
        <v>292</v>
      </c>
      <c r="B9" s="17">
        <f ca="1">IF(A9&lt;&gt;"",1,INDIRECT(ADDRESS(ROW(B9)-1,COLUMN(B9),4))+1)</f>
        <v>1</v>
      </c>
      <c r="C9" s="12" t="s">
        <v>24</v>
      </c>
      <c r="D9" s="13" t="s">
        <v>288</v>
      </c>
      <c r="E9" s="13" t="s">
        <v>370</v>
      </c>
      <c r="F9" s="13" t="s">
        <v>290</v>
      </c>
      <c r="G9" s="13" t="s">
        <v>206</v>
      </c>
      <c r="H9" s="13" t="s">
        <v>428</v>
      </c>
      <c r="I9" s="14" t="s">
        <v>74</v>
      </c>
    </row>
    <row r="10" spans="1:9" ht="148.19999999999999" customHeight="1" x14ac:dyDescent="0.2">
      <c r="A10" s="25" t="s">
        <v>293</v>
      </c>
      <c r="B10" s="17">
        <f ca="1">IF(A10&lt;&gt;"",1,INDIRECT(ADDRESS(ROW(B10)-1,COLUMN(B10),4))+1)</f>
        <v>1</v>
      </c>
      <c r="C10" s="12" t="s">
        <v>24</v>
      </c>
      <c r="D10" s="13" t="s">
        <v>289</v>
      </c>
      <c r="E10" s="13" t="s">
        <v>370</v>
      </c>
      <c r="F10" s="13" t="s">
        <v>290</v>
      </c>
      <c r="G10" s="13" t="s">
        <v>291</v>
      </c>
      <c r="H10" s="13" t="s">
        <v>429</v>
      </c>
      <c r="I10" s="14" t="s">
        <v>74</v>
      </c>
    </row>
  </sheetData>
  <mergeCells count="5">
    <mergeCell ref="A1:B1"/>
    <mergeCell ref="A2:B3"/>
    <mergeCell ref="C2:C3"/>
    <mergeCell ref="A5:I5"/>
    <mergeCell ref="A6:I6"/>
  </mergeCells>
  <phoneticPr fontId="2"/>
  <conditionalFormatting sqref="B9:B10">
    <cfRule type="expression" dxfId="5" priority="1">
      <formula>B9&lt;&gt;""</formula>
    </cfRule>
  </conditionalFormatting>
  <dataValidations count="2">
    <dataValidation type="list" allowBlank="1" showInputMessage="1" showErrorMessage="1" sqref="I9:I10" xr:uid="{602B0076-1C58-45BD-BC11-F0E6EBA027D3}">
      <formula1>"Selenium:○,Seleniumu:△,Selenium:×,JUnit:○,JUnit:△,Junit:×,手動実行,机上"</formula1>
    </dataValidation>
    <dataValidation type="list" allowBlank="1" showInputMessage="1" showErrorMessage="1" sqref="C9:C10" xr:uid="{79030441-DFEE-4227-9CB2-7A5DCFEB358B}">
      <formula1>"正常,クライアントエラー,サーバーエラー"</formula1>
    </dataValidation>
  </dataValidations>
  <hyperlinks>
    <hyperlink ref="A2" location="大中項目!A1" display="目次へ" xr:uid="{A412FA25-E5A6-405C-8091-8B7993505558}"/>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94E5-4C8E-4551-B110-1700395545BB}">
  <sheetPr>
    <pageSetUpPr fitToPage="1"/>
  </sheetPr>
  <dimension ref="A1:I11"/>
  <sheetViews>
    <sheetView showGridLines="0" zoomScaleNormal="100" workbookViewId="0">
      <pane ySplit="8" topLeftCell="A9" activePane="bottomLeft" state="frozen"/>
      <selection activeCell="C20" sqref="C20"/>
      <selection pane="bottomLeft" activeCell="A6" sqref="A6:I6"/>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COUNTA($D$9:$D$65493)</f>
        <v>3</v>
      </c>
      <c r="D2" s="16" t="str">
        <f>大中項目!B1</f>
        <v>RSCL</v>
      </c>
      <c r="E2" s="16" t="str" cm="1">
        <f t="array" aca="1" ref="E2" ca="1">MID(CELL("filename", A1), FIND("]", CELL("filename", A1)) + 1, 255)</f>
        <v>RSCL19</v>
      </c>
      <c r="F2" s="9"/>
      <c r="G2" s="9"/>
      <c r="H2" s="8"/>
    </row>
    <row r="3" spans="1:9" x14ac:dyDescent="0.2">
      <c r="A3" s="46"/>
      <c r="B3" s="47"/>
      <c r="C3" s="49"/>
      <c r="D3" s="16" t="str">
        <f>大中項目!B2</f>
        <v>RESTクライアント</v>
      </c>
      <c r="E3" s="39" t="str">
        <f ca="1">INDEX(大中項目!B:B, MATCH(E2, 大中項目!A:A, 0))</f>
        <v>HTTP Proxyの設定（RestTemplate）</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51.19999999999999" customHeight="1" x14ac:dyDescent="0.2">
      <c r="A9" s="25" t="s">
        <v>294</v>
      </c>
      <c r="B9" s="17">
        <f ca="1">IF(A9&lt;&gt;"",1,INDIRECT(ADDRESS(ROW(B9)-1,COLUMN(B9),4))+1)</f>
        <v>1</v>
      </c>
      <c r="C9" s="12" t="s">
        <v>24</v>
      </c>
      <c r="D9" s="13" t="s">
        <v>296</v>
      </c>
      <c r="E9" s="13" t="s">
        <v>384</v>
      </c>
      <c r="F9" s="13" t="s">
        <v>59</v>
      </c>
      <c r="G9" s="13" t="s">
        <v>206</v>
      </c>
      <c r="H9" s="13" t="s">
        <v>430</v>
      </c>
      <c r="I9" s="14" t="s">
        <v>74</v>
      </c>
    </row>
    <row r="10" spans="1:9" ht="162" customHeight="1" x14ac:dyDescent="0.2">
      <c r="A10" s="25" t="s">
        <v>295</v>
      </c>
      <c r="B10" s="17">
        <f ca="1">IF(A10&lt;&gt;"",1,INDIRECT(ADDRESS(ROW(B10)-1,COLUMN(B10),4))+1)</f>
        <v>1</v>
      </c>
      <c r="C10" s="12" t="s">
        <v>24</v>
      </c>
      <c r="D10" s="13" t="s">
        <v>297</v>
      </c>
      <c r="E10" s="13" t="s">
        <v>385</v>
      </c>
      <c r="F10" s="13" t="s">
        <v>59</v>
      </c>
      <c r="G10" s="13" t="s">
        <v>291</v>
      </c>
      <c r="H10" s="13" t="s">
        <v>431</v>
      </c>
      <c r="I10" s="14" t="s">
        <v>74</v>
      </c>
    </row>
    <row r="11" spans="1:9" ht="127.8" customHeight="1" x14ac:dyDescent="0.2">
      <c r="A11" s="25" t="s">
        <v>299</v>
      </c>
      <c r="B11" s="17">
        <f ca="1">IF(A11&lt;&gt;"",1,INDIRECT(ADDRESS(ROW(B11)-1,COLUMN(B11),4))+1)</f>
        <v>1</v>
      </c>
      <c r="C11" s="12" t="s">
        <v>60</v>
      </c>
      <c r="D11" s="13" t="s">
        <v>298</v>
      </c>
      <c r="E11" s="13" t="s">
        <v>386</v>
      </c>
      <c r="F11" s="13" t="s">
        <v>59</v>
      </c>
      <c r="G11" s="13" t="s">
        <v>291</v>
      </c>
      <c r="H11" s="13" t="s">
        <v>300</v>
      </c>
      <c r="I11" s="14" t="s">
        <v>74</v>
      </c>
    </row>
  </sheetData>
  <mergeCells count="5">
    <mergeCell ref="A1:B1"/>
    <mergeCell ref="A2:B3"/>
    <mergeCell ref="C2:C3"/>
    <mergeCell ref="A5:I5"/>
    <mergeCell ref="A6:I6"/>
  </mergeCells>
  <phoneticPr fontId="2"/>
  <conditionalFormatting sqref="B9:B11">
    <cfRule type="expression" dxfId="4" priority="1">
      <formula>B9&lt;&gt;""</formula>
    </cfRule>
  </conditionalFormatting>
  <dataValidations count="2">
    <dataValidation type="list" allowBlank="1" showInputMessage="1" showErrorMessage="1" sqref="C9:C11" xr:uid="{23E16A43-C937-4FA7-8BD7-610D3507279A}">
      <formula1>"正常,クライアントエラー,サーバーエラー"</formula1>
    </dataValidation>
    <dataValidation type="list" allowBlank="1" showInputMessage="1" showErrorMessage="1" sqref="I9:I11" xr:uid="{DE7BD279-5C15-468D-BEED-7B1E1079500A}">
      <formula1>"Selenium:○,Seleniumu:△,Selenium:×,JUnit:○,JUnit:△,Junit:×,手動実行,机上"</formula1>
    </dataValidation>
  </dataValidations>
  <hyperlinks>
    <hyperlink ref="A2" location="大中項目!A1" display="目次へ" xr:uid="{3C32DF7E-6D2B-4471-99AC-4426AE35B82F}"/>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99179-987C-4BC2-A05F-D412A79C772A}">
  <sheetPr>
    <pageSetUpPr fitToPage="1"/>
  </sheetPr>
  <dimension ref="A1:I10"/>
  <sheetViews>
    <sheetView showGridLines="0" zoomScaleNormal="100" workbookViewId="0">
      <pane ySplit="8" topLeftCell="A9" activePane="bottomLeft" state="frozen"/>
      <selection activeCell="C20" sqref="C20"/>
      <selection pane="bottomLeft" activeCell="A6" sqref="A6:I6"/>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4.77734375" customWidth="1"/>
    <col min="7" max="7" width="26.33203125" bestFit="1" customWidth="1"/>
    <col min="8" max="8" width="44.77734375"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COUNTA($D$9:$D$65486)</f>
        <v>2</v>
      </c>
      <c r="D2" s="16" t="str">
        <f>大中項目!B1</f>
        <v>RSCL</v>
      </c>
      <c r="E2" s="16" t="str" cm="1">
        <f t="array" aca="1" ref="E2" ca="1">MID(CELL("filename", A1), FIND("]", CELL("filename", A1)) + 1, 255)</f>
        <v>RSCL48</v>
      </c>
      <c r="F2" s="9"/>
      <c r="G2" s="9"/>
      <c r="H2" s="8"/>
    </row>
    <row r="3" spans="1:9" x14ac:dyDescent="0.2">
      <c r="A3" s="46"/>
      <c r="B3" s="47"/>
      <c r="C3" s="49"/>
      <c r="D3" s="16" t="str">
        <f>大中項目!B2</f>
        <v>RESTクライアント</v>
      </c>
      <c r="E3" s="39" t="str">
        <f ca="1">INDEX(大中項目!B:B, MATCH(E2, 大中項目!A:A, 0))</f>
        <v>非同期通信のデータ登録（WebClient）</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68" customHeight="1" x14ac:dyDescent="0.2">
      <c r="A9" s="25" t="s">
        <v>307</v>
      </c>
      <c r="B9" s="17">
        <f ca="1">IF(A9&lt;&gt;"",1,INDIRECT(ADDRESS(ROW(B9)-1,COLUMN(B9),4))+1)</f>
        <v>1</v>
      </c>
      <c r="C9" s="12" t="s">
        <v>24</v>
      </c>
      <c r="D9" s="13" t="s">
        <v>359</v>
      </c>
      <c r="E9" s="13" t="s">
        <v>304</v>
      </c>
      <c r="F9" s="13" t="s">
        <v>59</v>
      </c>
      <c r="G9" s="13" t="s">
        <v>306</v>
      </c>
      <c r="H9" s="13" t="s">
        <v>433</v>
      </c>
      <c r="I9" s="14" t="s">
        <v>74</v>
      </c>
    </row>
    <row r="10" spans="1:9" ht="177.6" customHeight="1" x14ac:dyDescent="0.2">
      <c r="A10" s="25" t="s">
        <v>308</v>
      </c>
      <c r="B10" s="17">
        <f ca="1">IF(A10&lt;&gt;"",1,INDIRECT(ADDRESS(ROW(B10)-1,COLUMN(B10),4))+1)</f>
        <v>1</v>
      </c>
      <c r="C10" s="12" t="s">
        <v>24</v>
      </c>
      <c r="D10" s="13" t="s">
        <v>360</v>
      </c>
      <c r="E10" s="13" t="s">
        <v>303</v>
      </c>
      <c r="F10" s="13" t="s">
        <v>305</v>
      </c>
      <c r="G10" s="13" t="s">
        <v>306</v>
      </c>
      <c r="H10" s="13" t="s">
        <v>434</v>
      </c>
      <c r="I10" s="14" t="s">
        <v>74</v>
      </c>
    </row>
  </sheetData>
  <mergeCells count="5">
    <mergeCell ref="A1:B1"/>
    <mergeCell ref="A2:B3"/>
    <mergeCell ref="C2:C3"/>
    <mergeCell ref="A5:I5"/>
    <mergeCell ref="A6:I6"/>
  </mergeCells>
  <phoneticPr fontId="2"/>
  <conditionalFormatting sqref="B9:B10">
    <cfRule type="expression" dxfId="3" priority="1">
      <formula>B9&lt;&gt;""</formula>
    </cfRule>
  </conditionalFormatting>
  <dataValidations count="2">
    <dataValidation type="list" allowBlank="1" showInputMessage="1" showErrorMessage="1" sqref="C9:C10" xr:uid="{1432CA55-851C-45F5-BEB9-C33F57A79D63}">
      <formula1>"正常,クライアントエラー,サーバーエラー"</formula1>
    </dataValidation>
    <dataValidation type="list" allowBlank="1" showInputMessage="1" showErrorMessage="1" sqref="I9:I10" xr:uid="{4C8866B7-5BBE-4531-8FDC-F92C49DE2E13}">
      <formula1>"Selenium:○,Seleniumu:△,Selenium:×,JUnit:○,JUnit:△,Junit:×,手動実行,机上"</formula1>
    </dataValidation>
  </dataValidations>
  <hyperlinks>
    <hyperlink ref="A2" location="大中項目!A1" display="目次へ" xr:uid="{E1363FC6-AFFA-4FB9-B596-3EE2461D7117}"/>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14B1-C184-4444-9A83-044FA5CE4100}">
  <sheetPr>
    <pageSetUpPr fitToPage="1"/>
  </sheetPr>
  <dimension ref="A1:I15"/>
  <sheetViews>
    <sheetView showGridLines="0" zoomScaleNormal="100" workbookViewId="0">
      <pane ySplit="8" topLeftCell="A9" activePane="bottomLeft" state="frozen"/>
      <selection activeCell="C20" sqref="C20"/>
      <selection pane="bottomLeft" activeCell="A6" sqref="A6:I6"/>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4.77734375" customWidth="1"/>
    <col min="7" max="7" width="26.33203125" bestFit="1" customWidth="1"/>
    <col min="8" max="8" width="44.77734375"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COUNTA($D$9:$D$65486)</f>
        <v>7</v>
      </c>
      <c r="D2" s="16" t="str">
        <f>大中項目!B1</f>
        <v>RSCL</v>
      </c>
      <c r="E2" s="16" t="str" cm="1">
        <f t="array" aca="1" ref="E2" ca="1">MID(CELL("filename", A1), FIND("]", CELL("filename", A1)) + 1, 255)</f>
        <v>RSCL49</v>
      </c>
      <c r="F2" s="9"/>
      <c r="G2" s="9"/>
      <c r="H2" s="8"/>
    </row>
    <row r="3" spans="1:9" x14ac:dyDescent="0.2">
      <c r="A3" s="46"/>
      <c r="B3" s="47"/>
      <c r="C3" s="49"/>
      <c r="D3" s="16" t="str">
        <f>大中項目!B2</f>
        <v>RESTクライアント</v>
      </c>
      <c r="E3" s="39" t="str">
        <f ca="1">INDEX(大中項目!B:B, MATCH(E2, 大中項目!A:A, 0))</f>
        <v>エラーハンドリングの設定（WebClient）</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68" customHeight="1" x14ac:dyDescent="0.2">
      <c r="A9" s="25" t="s">
        <v>320</v>
      </c>
      <c r="B9" s="17">
        <f t="shared" ref="B9:B15" ca="1" si="0">IF(A9&lt;&gt;"",1,INDIRECT(ADDRESS(ROW(B9)-1,COLUMN(B9),4))+1)</f>
        <v>1</v>
      </c>
      <c r="C9" s="12" t="s">
        <v>60</v>
      </c>
      <c r="D9" s="13" t="s">
        <v>309</v>
      </c>
      <c r="E9" s="13" t="s">
        <v>316</v>
      </c>
      <c r="F9" s="13" t="s">
        <v>231</v>
      </c>
      <c r="G9" s="13" t="s">
        <v>206</v>
      </c>
      <c r="H9" s="13" t="s">
        <v>435</v>
      </c>
      <c r="I9" s="14" t="s">
        <v>74</v>
      </c>
    </row>
    <row r="10" spans="1:9" ht="162" customHeight="1" x14ac:dyDescent="0.2">
      <c r="A10" s="25" t="s">
        <v>321</v>
      </c>
      <c r="B10" s="17">
        <f t="shared" ca="1" si="0"/>
        <v>1</v>
      </c>
      <c r="C10" s="12" t="s">
        <v>60</v>
      </c>
      <c r="D10" s="13" t="s">
        <v>310</v>
      </c>
      <c r="E10" s="13" t="s">
        <v>316</v>
      </c>
      <c r="F10" s="13" t="s">
        <v>232</v>
      </c>
      <c r="G10" s="13" t="s">
        <v>206</v>
      </c>
      <c r="H10" s="13" t="s">
        <v>436</v>
      </c>
      <c r="I10" s="14" t="s">
        <v>74</v>
      </c>
    </row>
    <row r="11" spans="1:9" ht="148.19999999999999" customHeight="1" x14ac:dyDescent="0.2">
      <c r="A11" s="25" t="s">
        <v>322</v>
      </c>
      <c r="B11" s="17">
        <f t="shared" ca="1" si="0"/>
        <v>1</v>
      </c>
      <c r="C11" s="12" t="s">
        <v>24</v>
      </c>
      <c r="D11" s="13" t="s">
        <v>311</v>
      </c>
      <c r="E11" s="13" t="s">
        <v>317</v>
      </c>
      <c r="F11" s="13" t="s">
        <v>230</v>
      </c>
      <c r="G11" s="13" t="s">
        <v>206</v>
      </c>
      <c r="H11" s="13" t="s">
        <v>437</v>
      </c>
      <c r="I11" s="14" t="s">
        <v>74</v>
      </c>
    </row>
    <row r="12" spans="1:9" ht="148.19999999999999" customHeight="1" x14ac:dyDescent="0.2">
      <c r="A12" s="25" t="s">
        <v>323</v>
      </c>
      <c r="B12" s="17">
        <f t="shared" ca="1" si="0"/>
        <v>1</v>
      </c>
      <c r="C12" s="12" t="s">
        <v>60</v>
      </c>
      <c r="D12" s="13" t="s">
        <v>312</v>
      </c>
      <c r="E12" s="13" t="s">
        <v>317</v>
      </c>
      <c r="F12" s="13" t="s">
        <v>231</v>
      </c>
      <c r="G12" s="13" t="s">
        <v>206</v>
      </c>
      <c r="H12" s="13" t="s">
        <v>438</v>
      </c>
      <c r="I12" s="14" t="s">
        <v>74</v>
      </c>
    </row>
    <row r="13" spans="1:9" ht="150" customHeight="1" x14ac:dyDescent="0.2">
      <c r="A13" s="25" t="s">
        <v>324</v>
      </c>
      <c r="B13" s="17">
        <f t="shared" ca="1" si="0"/>
        <v>1</v>
      </c>
      <c r="C13" s="12" t="s">
        <v>60</v>
      </c>
      <c r="D13" s="13" t="s">
        <v>313</v>
      </c>
      <c r="E13" s="13" t="s">
        <v>317</v>
      </c>
      <c r="F13" s="13" t="s">
        <v>232</v>
      </c>
      <c r="G13" s="13" t="s">
        <v>206</v>
      </c>
      <c r="H13" s="13" t="s">
        <v>439</v>
      </c>
      <c r="I13" s="14" t="s">
        <v>74</v>
      </c>
    </row>
    <row r="14" spans="1:9" ht="154.19999999999999" customHeight="1" x14ac:dyDescent="0.2">
      <c r="A14" s="25" t="s">
        <v>325</v>
      </c>
      <c r="B14" s="17">
        <f t="shared" ca="1" si="0"/>
        <v>1</v>
      </c>
      <c r="C14" s="12" t="s">
        <v>60</v>
      </c>
      <c r="D14" s="13" t="s">
        <v>314</v>
      </c>
      <c r="E14" s="13" t="s">
        <v>317</v>
      </c>
      <c r="F14" s="13" t="s">
        <v>233</v>
      </c>
      <c r="G14" s="13" t="s">
        <v>206</v>
      </c>
      <c r="H14" s="13" t="s">
        <v>440</v>
      </c>
      <c r="I14" s="14" t="s">
        <v>74</v>
      </c>
    </row>
    <row r="15" spans="1:9" ht="162" customHeight="1" x14ac:dyDescent="0.2">
      <c r="A15" s="25" t="s">
        <v>326</v>
      </c>
      <c r="B15" s="17">
        <f t="shared" ca="1" si="0"/>
        <v>1</v>
      </c>
      <c r="C15" s="12" t="s">
        <v>61</v>
      </c>
      <c r="D15" s="13" t="s">
        <v>315</v>
      </c>
      <c r="E15" s="13" t="s">
        <v>318</v>
      </c>
      <c r="F15" s="13" t="s">
        <v>319</v>
      </c>
      <c r="G15" s="13" t="s">
        <v>206</v>
      </c>
      <c r="H15" s="13" t="s">
        <v>441</v>
      </c>
      <c r="I15" s="14" t="s">
        <v>74</v>
      </c>
    </row>
  </sheetData>
  <mergeCells count="5">
    <mergeCell ref="A1:B1"/>
    <mergeCell ref="A2:B3"/>
    <mergeCell ref="C2:C3"/>
    <mergeCell ref="A5:I5"/>
    <mergeCell ref="A6:I6"/>
  </mergeCells>
  <phoneticPr fontId="2"/>
  <conditionalFormatting sqref="B9:B15">
    <cfRule type="expression" dxfId="2" priority="1">
      <formula>B9&lt;&gt;""</formula>
    </cfRule>
  </conditionalFormatting>
  <dataValidations count="2">
    <dataValidation type="list" allowBlank="1" showInputMessage="1" showErrorMessage="1" sqref="I9:I15" xr:uid="{0AD16558-EA58-418E-9185-7A9014846C77}">
      <formula1>"Selenium:○,Seleniumu:△,Selenium:×,JUnit:○,JUnit:△,Junit:×,手動実行,机上"</formula1>
    </dataValidation>
    <dataValidation type="list" allowBlank="1" showInputMessage="1" showErrorMessage="1" sqref="C9:C15" xr:uid="{32468F9C-29A4-415E-BB80-FA3B85441D18}">
      <formula1>"正常,クライアントエラー,サーバーエラー"</formula1>
    </dataValidation>
  </dataValidations>
  <hyperlinks>
    <hyperlink ref="A2" location="大中項目!A1" display="目次へ" xr:uid="{3F1A2D7F-2D70-41ED-81F1-1AB6455FE7F3}"/>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9C3FA-AED6-4631-B1BD-49EB574F561B}">
  <sheetPr>
    <pageSetUpPr fitToPage="1"/>
  </sheetPr>
  <dimension ref="A1:I10"/>
  <sheetViews>
    <sheetView showGridLines="0" zoomScaleNormal="100" workbookViewId="0">
      <pane ySplit="8" topLeftCell="A9" activePane="bottomLeft" state="frozen"/>
      <selection activeCell="C20" sqref="C20"/>
      <selection pane="bottomLeft" activeCell="A6" sqref="A6:I6"/>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6" width="44.77734375" customWidth="1"/>
    <col min="7" max="7" width="26.33203125" bestFit="1" customWidth="1"/>
    <col min="8" max="8" width="44.77734375" customWidth="1"/>
    <col min="9" max="9" width="16.77734375" customWidth="1"/>
  </cols>
  <sheetData>
    <row r="1" spans="1:9" ht="26.4" x14ac:dyDescent="0.2">
      <c r="A1" s="42" t="s">
        <v>6</v>
      </c>
      <c r="B1" s="43"/>
      <c r="C1" s="6" t="s">
        <v>7</v>
      </c>
      <c r="D1" s="6" t="s">
        <v>8</v>
      </c>
      <c r="E1" s="6" t="s">
        <v>9</v>
      </c>
      <c r="F1" s="6" t="s">
        <v>10</v>
      </c>
      <c r="G1" s="6" t="s">
        <v>11</v>
      </c>
      <c r="H1" s="7" t="s">
        <v>12</v>
      </c>
    </row>
    <row r="2" spans="1:9" x14ac:dyDescent="0.2">
      <c r="A2" s="44" t="s">
        <v>20</v>
      </c>
      <c r="B2" s="45"/>
      <c r="C2" s="48">
        <f>COUNTA($D$9:$D$65481)</f>
        <v>2</v>
      </c>
      <c r="D2" s="16" t="str">
        <f>大中項目!B1</f>
        <v>RSCL</v>
      </c>
      <c r="E2" s="16" t="str" cm="1">
        <f t="array" aca="1" ref="E2" ca="1">MID(CELL("filename", A1), FIND("]", CELL("filename", A1)) + 1, 255)</f>
        <v>RSCL50</v>
      </c>
      <c r="F2" s="9"/>
      <c r="G2" s="9"/>
      <c r="H2" s="8"/>
    </row>
    <row r="3" spans="1:9" x14ac:dyDescent="0.2">
      <c r="A3" s="46"/>
      <c r="B3" s="47"/>
      <c r="C3" s="49"/>
      <c r="D3" s="16" t="str">
        <f>大中項目!B2</f>
        <v>RESTクライアント</v>
      </c>
      <c r="E3" s="39" t="str">
        <f ca="1">INDEX(大中項目!B:B, MATCH(E2, 大中項目!A:A, 0))</f>
        <v>リクエスト送信前の共通処理設定（WebClient）</v>
      </c>
      <c r="F3" s="9"/>
      <c r="G3" s="9"/>
      <c r="H3" s="9"/>
    </row>
    <row r="4" spans="1:9" x14ac:dyDescent="0.2">
      <c r="A4" s="10"/>
      <c r="B4" s="10"/>
      <c r="C4" s="10"/>
      <c r="D4" s="10"/>
      <c r="E4" s="10"/>
      <c r="F4" s="10"/>
      <c r="G4" s="10"/>
      <c r="H4" s="10"/>
      <c r="I4" s="10"/>
    </row>
    <row r="5" spans="1:9" x14ac:dyDescent="0.2">
      <c r="A5" s="50" t="s">
        <v>13</v>
      </c>
      <c r="B5" s="51"/>
      <c r="C5" s="51"/>
      <c r="D5" s="51"/>
      <c r="E5" s="51"/>
      <c r="F5" s="51"/>
      <c r="G5" s="51"/>
      <c r="H5" s="51"/>
      <c r="I5" s="52"/>
    </row>
    <row r="6" spans="1:9" ht="42" customHeight="1" x14ac:dyDescent="0.2">
      <c r="A6" s="53" t="s">
        <v>14</v>
      </c>
      <c r="B6" s="54"/>
      <c r="C6" s="54"/>
      <c r="D6" s="54"/>
      <c r="E6" s="54"/>
      <c r="F6" s="54"/>
      <c r="G6" s="54"/>
      <c r="H6" s="54"/>
      <c r="I6" s="55"/>
    </row>
    <row r="7" spans="1:9" x14ac:dyDescent="0.2">
      <c r="A7" s="10"/>
      <c r="B7" s="10"/>
      <c r="C7" s="10"/>
      <c r="D7" s="10"/>
      <c r="E7" s="10"/>
      <c r="F7" s="10"/>
      <c r="G7" s="10"/>
      <c r="H7" s="10"/>
      <c r="I7" s="10"/>
    </row>
    <row r="8" spans="1:9" ht="26.4" x14ac:dyDescent="0.2">
      <c r="A8" s="6" t="s">
        <v>4</v>
      </c>
      <c r="B8" s="7" t="s">
        <v>21</v>
      </c>
      <c r="C8" s="6" t="s">
        <v>15</v>
      </c>
      <c r="D8" s="6" t="s">
        <v>16</v>
      </c>
      <c r="E8" s="6" t="s">
        <v>17</v>
      </c>
      <c r="F8" s="7" t="s">
        <v>22</v>
      </c>
      <c r="G8" s="7" t="s">
        <v>23</v>
      </c>
      <c r="H8" s="6" t="s">
        <v>18</v>
      </c>
      <c r="I8" s="6" t="s">
        <v>19</v>
      </c>
    </row>
    <row r="9" spans="1:9" ht="151.80000000000001" customHeight="1" x14ac:dyDescent="0.2">
      <c r="A9" s="25" t="s">
        <v>329</v>
      </c>
      <c r="B9" s="17">
        <f ca="1">IF(A9&lt;&gt;"",1,INDIRECT(ADDRESS(ROW(B9)-1,COLUMN(B9),4))+1)</f>
        <v>1</v>
      </c>
      <c r="C9" s="12" t="s">
        <v>24</v>
      </c>
      <c r="D9" s="13" t="s">
        <v>327</v>
      </c>
      <c r="E9" s="13" t="s">
        <v>331</v>
      </c>
      <c r="F9" s="13" t="s">
        <v>59</v>
      </c>
      <c r="G9" s="13" t="s">
        <v>333</v>
      </c>
      <c r="H9" s="13" t="s">
        <v>442</v>
      </c>
      <c r="I9" s="14" t="s">
        <v>74</v>
      </c>
    </row>
    <row r="10" spans="1:9" ht="162" customHeight="1" x14ac:dyDescent="0.2">
      <c r="A10" s="25" t="s">
        <v>330</v>
      </c>
      <c r="B10" s="17">
        <f ca="1">IF(A10&lt;&gt;"",1,INDIRECT(ADDRESS(ROW(B10)-1,COLUMN(B10),4))+1)</f>
        <v>1</v>
      </c>
      <c r="C10" s="12" t="s">
        <v>24</v>
      </c>
      <c r="D10" s="13" t="s">
        <v>328</v>
      </c>
      <c r="E10" s="13" t="s">
        <v>332</v>
      </c>
      <c r="F10" s="13" t="s">
        <v>59</v>
      </c>
      <c r="G10" s="13" t="s">
        <v>206</v>
      </c>
      <c r="H10" s="13" t="s">
        <v>443</v>
      </c>
      <c r="I10" s="14" t="s">
        <v>74</v>
      </c>
    </row>
  </sheetData>
  <mergeCells count="5">
    <mergeCell ref="A1:B1"/>
    <mergeCell ref="A2:B3"/>
    <mergeCell ref="C2:C3"/>
    <mergeCell ref="A5:I5"/>
    <mergeCell ref="A6:I6"/>
  </mergeCells>
  <phoneticPr fontId="2"/>
  <conditionalFormatting sqref="B9:B10">
    <cfRule type="expression" dxfId="1" priority="1">
      <formula>B9&lt;&gt;""</formula>
    </cfRule>
  </conditionalFormatting>
  <dataValidations count="2">
    <dataValidation type="list" allowBlank="1" showInputMessage="1" showErrorMessage="1" sqref="C9:C10" xr:uid="{0C7FB791-8934-40AE-8AE0-79C68E66EA4D}">
      <formula1>"正常,クライアントエラー,サーバーエラー"</formula1>
    </dataValidation>
    <dataValidation type="list" allowBlank="1" showInputMessage="1" showErrorMessage="1" sqref="I9:I10" xr:uid="{ED45A53B-3C48-47E7-BCD3-60B917D15F40}">
      <formula1>"Selenium:○,Seleniumu:△,Selenium:×,JUnit:○,JUnit:△,Junit:×,手動実行,机上"</formula1>
    </dataValidation>
  </dataValidations>
  <hyperlinks>
    <hyperlink ref="A2" location="大中項目!A1" display="目次へ" xr:uid="{F274B62E-6D40-4EED-B298-D0902C9684D2}"/>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22</vt:i4>
      </vt:variant>
    </vt:vector>
  </HeadingPairs>
  <TitlesOfParts>
    <vt:vector size="45" baseType="lpstr">
      <vt:lpstr>大中項目</vt:lpstr>
      <vt:lpstr>RSCL01</vt:lpstr>
      <vt:lpstr>RSCL02</vt:lpstr>
      <vt:lpstr>RSCL03</vt:lpstr>
      <vt:lpstr>RSCL04</vt:lpstr>
      <vt:lpstr>RSCL05</vt:lpstr>
      <vt:lpstr>RSCL06</vt:lpstr>
      <vt:lpstr>RSCL07</vt:lpstr>
      <vt:lpstr>RSCL08</vt:lpstr>
      <vt:lpstr>RSCL09</vt:lpstr>
      <vt:lpstr>RSCL10</vt:lpstr>
      <vt:lpstr>RSCL11</vt:lpstr>
      <vt:lpstr>RSCL12</vt:lpstr>
      <vt:lpstr>RSCL13</vt:lpstr>
      <vt:lpstr>RSCL14</vt:lpstr>
      <vt:lpstr>RSCL14の試験内容図</vt:lpstr>
      <vt:lpstr>RSCL16</vt:lpstr>
      <vt:lpstr>RSCL17</vt:lpstr>
      <vt:lpstr>RSCL18</vt:lpstr>
      <vt:lpstr>RSCL19</vt:lpstr>
      <vt:lpstr>RSCL48</vt:lpstr>
      <vt:lpstr>RSCL49</vt:lpstr>
      <vt:lpstr>RSCL50</vt:lpstr>
      <vt:lpstr>RSCL01!Print_Titles</vt:lpstr>
      <vt:lpstr>RSCL02!Print_Titles</vt:lpstr>
      <vt:lpstr>RSCL03!Print_Titles</vt:lpstr>
      <vt:lpstr>RSCL04!Print_Titles</vt:lpstr>
      <vt:lpstr>RSCL05!Print_Titles</vt:lpstr>
      <vt:lpstr>RSCL06!Print_Titles</vt:lpstr>
      <vt:lpstr>RSCL07!Print_Titles</vt:lpstr>
      <vt:lpstr>RSCL08!Print_Titles</vt:lpstr>
      <vt:lpstr>RSCL09!Print_Titles</vt:lpstr>
      <vt:lpstr>RSCL10!Print_Titles</vt:lpstr>
      <vt:lpstr>RSCL11!Print_Titles</vt:lpstr>
      <vt:lpstr>RSCL12!Print_Titles</vt:lpstr>
      <vt:lpstr>RSCL13!Print_Titles</vt:lpstr>
      <vt:lpstr>RSCL14!Print_Titles</vt:lpstr>
      <vt:lpstr>RSCL16!Print_Titles</vt:lpstr>
      <vt:lpstr>RSCL17!Print_Titles</vt:lpstr>
      <vt:lpstr>RSCL18!Print_Titles</vt:lpstr>
      <vt:lpstr>RSCL19!Print_Titles</vt:lpstr>
      <vt:lpstr>RSCL48!Print_Titles</vt:lpstr>
      <vt:lpstr>RSCL49!Print_Titles</vt:lpstr>
      <vt:lpstr>RSCL50!Print_Titles</vt:lpstr>
      <vt:lpstr>大中項目!Print_Titles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TIG 関根 大介/Sekine, Daisuke (NTT DATA)</cp:lastModifiedBy>
  <cp:lastPrinted>2013-11-12T01:02:24Z</cp:lastPrinted>
  <dcterms:created xsi:type="dcterms:W3CDTF">2013-11-07T11:05:46Z</dcterms:created>
  <dcterms:modified xsi:type="dcterms:W3CDTF">2026-03-05T09:02:09Z</dcterms:modified>
</cp:coreProperties>
</file>