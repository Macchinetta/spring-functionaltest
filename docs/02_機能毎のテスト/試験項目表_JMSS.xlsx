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defaultThemeVersion="124226"/>
  <mc:AlternateContent xmlns:mc="http://schemas.openxmlformats.org/markup-compatibility/2006">
    <mc:Choice Requires="x15">
      <x15ac:absPath xmlns:x15ac="http://schemas.microsoft.com/office/spreadsheetml/2010/11/ac" url="C:\work\terasolunaorg\spring-functionaltest\docs\02_機能毎のテスト\"/>
    </mc:Choice>
  </mc:AlternateContent>
  <xr:revisionPtr revIDLastSave="0" documentId="13_ncr:1_{B6445F4D-9FA9-4FD8-8AA0-6C6EA382BAF3}" xr6:coauthVersionLast="47" xr6:coauthVersionMax="47" xr10:uidLastSave="{00000000-0000-0000-0000-000000000000}"/>
  <bookViews>
    <workbookView xWindow="22450" yWindow="-110" windowWidth="25820" windowHeight="13900" tabRatio="707" xr2:uid="{00000000-000D-0000-FFFF-FFFF00000000}"/>
  </bookViews>
  <sheets>
    <sheet name="大中項目" sheetId="1" r:id="rId1"/>
    <sheet name="JMSS01" sheetId="6" r:id="rId2"/>
    <sheet name="JMSS02" sheetId="8" r:id="rId3"/>
    <sheet name="JMSS03" sheetId="10" r:id="rId4"/>
    <sheet name="JMSS04" sheetId="9" r:id="rId5"/>
    <sheet name="JMSS05" sheetId="11" r:id="rId6"/>
    <sheet name="JMSS06" sheetId="12" r:id="rId7"/>
    <sheet name="JMSS07" sheetId="13" r:id="rId8"/>
    <sheet name="JMSS08" sheetId="14" r:id="rId9"/>
    <sheet name="JMSS09" sheetId="15" r:id="rId10"/>
  </sheets>
  <definedNames>
    <definedName name="_xlnm._FilterDatabase" localSheetId="1" hidden="1">JMSS01!$A$8:$K$11</definedName>
    <definedName name="_xlnm.Print_Titles" localSheetId="1">JMSS01!$1:$8</definedName>
    <definedName name="_xlnm.Print_Titles" localSheetId="2">JMSS02!$1:$8</definedName>
    <definedName name="_xlnm.Print_Titles" localSheetId="3">JMSS03!$1:$8</definedName>
    <definedName name="_xlnm.Print_Titles" localSheetId="4">JMSS04!$1:$8</definedName>
    <definedName name="_xlnm.Print_Titles" localSheetId="5">JMSS05!$1:$8</definedName>
    <definedName name="_xlnm.Print_Titles" localSheetId="6">JMSS06!$1:$8</definedName>
    <definedName name="_xlnm.Print_Titles" localSheetId="7">JMSS07!$1:$8</definedName>
    <definedName name="_xlnm.Print_Titles" localSheetId="8">JMSS08!$1:$8</definedName>
    <definedName name="_xlnm.Print_Titles" localSheetId="9">JMSS09!$1:$8</definedName>
    <definedName name="_xlnm.Print_Titles" localSheetId="0">大中項目!$1:$4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c r="E2" i="10" a="1"/>
  <c r="E2" i="10" s="1"/>
  <c r="E3" i="10" s="1"/>
  <c r="D2" i="10"/>
  <c r="D3" i="9"/>
  <c r="E2" i="9" a="1"/>
  <c r="E2" i="9" s="1"/>
  <c r="E3" i="9" s="1"/>
  <c r="D2" i="9"/>
  <c r="D3" i="11"/>
  <c r="E2" i="11" a="1"/>
  <c r="E2" i="11" s="1"/>
  <c r="E3" i="11" s="1"/>
  <c r="D2" i="11"/>
  <c r="D3" i="12"/>
  <c r="E2" i="12" a="1"/>
  <c r="E2" i="12" s="1"/>
  <c r="E3" i="12" s="1"/>
  <c r="D2" i="12"/>
  <c r="D3" i="13"/>
  <c r="E2" i="13" a="1"/>
  <c r="E2" i="13" s="1"/>
  <c r="E3" i="13" s="1"/>
  <c r="D2" i="13"/>
  <c r="D3" i="14"/>
  <c r="E2" i="14" a="1"/>
  <c r="E2" i="14" s="1"/>
  <c r="E3" i="14" s="1"/>
  <c r="D2" i="14"/>
  <c r="D3" i="15"/>
  <c r="E2" i="15" a="1"/>
  <c r="E2" i="15" s="1"/>
  <c r="E3" i="15" s="1"/>
  <c r="D2" i="15"/>
  <c r="D3" i="8"/>
  <c r="E2" i="8" a="1"/>
  <c r="E2" i="8" s="1"/>
  <c r="E3" i="8" s="1"/>
  <c r="D2" i="8"/>
  <c r="E2" i="6" a="1"/>
  <c r="E2" i="6" s="1"/>
  <c r="E3" i="6" s="1"/>
  <c r="B11" i="14"/>
  <c r="B10" i="14"/>
  <c r="B9" i="14"/>
  <c r="B12" i="14"/>
  <c r="C2" i="14" l="1"/>
  <c r="B15" i="12"/>
  <c r="B13" i="12"/>
  <c r="B11" i="12"/>
  <c r="B9" i="12"/>
  <c r="B10" i="12"/>
  <c r="B14" i="12"/>
  <c r="B12" i="12"/>
  <c r="B16" i="12"/>
  <c r="C2" i="12" l="1"/>
  <c r="A16" i="1"/>
  <c r="D2" i="6" l="1"/>
  <c r="A25" i="1" l="1"/>
  <c r="A23" i="1"/>
  <c r="A22" i="1"/>
  <c r="A21" i="1"/>
  <c r="A18" i="1"/>
  <c r="C18" i="1" s="1"/>
  <c r="C19" i="1" s="1"/>
  <c r="C20" i="1" s="1"/>
  <c r="A17" i="1"/>
  <c r="C17" i="1" s="1"/>
  <c r="A15" i="1"/>
  <c r="A13" i="1"/>
  <c r="A12" i="1"/>
  <c r="A9" i="11" l="1"/>
  <c r="C13" i="1"/>
  <c r="C25" i="1"/>
  <c r="A9" i="15" s="1"/>
  <c r="B9" i="15" s="1"/>
  <c r="C2" i="15" s="1"/>
  <c r="C23" i="1"/>
  <c r="C22" i="1"/>
  <c r="A9" i="13" s="1"/>
  <c r="B9" i="13" s="1"/>
  <c r="A10" i="1"/>
  <c r="B10" i="13"/>
  <c r="C14" i="1" l="1"/>
  <c r="B9" i="9"/>
  <c r="C24" i="1"/>
  <c r="B10" i="9"/>
  <c r="B11" i="13"/>
  <c r="C21" i="1" l="1"/>
  <c r="B13" i="9"/>
  <c r="C15" i="1"/>
  <c r="C16" i="1" s="1"/>
  <c r="A7" i="1"/>
  <c r="A8" i="1"/>
  <c r="A6" i="1"/>
  <c r="B11" i="9"/>
  <c r="B12" i="13"/>
  <c r="B14" i="9" l="1"/>
  <c r="B17" i="9"/>
  <c r="C8" i="1"/>
  <c r="C9" i="1" s="1"/>
  <c r="B18" i="9"/>
  <c r="B12" i="9"/>
  <c r="B13" i="13"/>
  <c r="B15" i="9"/>
  <c r="C10" i="1" l="1"/>
  <c r="B10" i="8"/>
  <c r="D3" i="6"/>
  <c r="A5" i="1"/>
  <c r="B16" i="9"/>
  <c r="B14" i="13"/>
  <c r="C2" i="9" l="1"/>
  <c r="C11" i="1"/>
  <c r="B9" i="10"/>
  <c r="C5" i="1"/>
  <c r="B10" i="10"/>
  <c r="B15" i="13"/>
  <c r="C12" i="1" l="1"/>
  <c r="B14" i="10" s="1"/>
  <c r="B13" i="10"/>
  <c r="B9" i="11"/>
  <c r="C2" i="11" s="1"/>
  <c r="B9" i="6"/>
  <c r="C6" i="1"/>
  <c r="B11" i="10"/>
  <c r="B16" i="13"/>
  <c r="B15" i="10"/>
  <c r="C2" i="13" l="1"/>
  <c r="C2" i="6"/>
  <c r="C7" i="1"/>
  <c r="B11" i="6" s="1"/>
  <c r="B10" i="6"/>
  <c r="B12" i="10"/>
  <c r="C2" i="10" l="1"/>
  <c r="B9" i="8"/>
  <c r="C2" i="8" l="1"/>
  <c r="C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<sst xmlns="http://schemas.openxmlformats.org/spreadsheetml/2006/main" count="518" uniqueCount="256">
  <si>
    <t>機能ID</t>
    <rPh sb="0" eb="2">
      <t>キノウ</t>
    </rPh>
    <phoneticPr fontId="2"/>
  </si>
  <si>
    <t>機能名</t>
    <rPh sb="0" eb="3">
      <t>キノウメイ</t>
    </rPh>
    <phoneticPr fontId="2"/>
  </si>
  <si>
    <t>大項目ID</t>
    <rPh sb="0" eb="3">
      <t>ダイコウモク</t>
    </rPh>
    <phoneticPr fontId="2"/>
  </si>
  <si>
    <t>大項目</t>
    <rPh sb="0" eb="3">
      <t>ダイコウモク</t>
    </rPh>
    <phoneticPr fontId="2"/>
  </si>
  <si>
    <t>中項目ID</t>
    <rPh sb="0" eb="3">
      <t>チュウコウモク</t>
    </rPh>
    <phoneticPr fontId="2"/>
  </si>
  <si>
    <t>中項目</t>
    <rPh sb="0" eb="3">
      <t>チュウコウモク</t>
    </rPh>
    <phoneticPr fontId="2"/>
  </si>
  <si>
    <t>試験項目表</t>
    <rPh sb="0" eb="2">
      <t>シケン</t>
    </rPh>
    <rPh sb="2" eb="4">
      <t>コウモク</t>
    </rPh>
    <phoneticPr fontId="8"/>
  </si>
  <si>
    <t>件数</t>
    <rPh sb="0" eb="2">
      <t>ケンスウ</t>
    </rPh>
    <phoneticPr fontId="8"/>
  </si>
  <si>
    <t>機能ID/機能名</t>
    <rPh sb="0" eb="2">
      <t>キノウ</t>
    </rPh>
    <rPh sb="5" eb="7">
      <t>キノウ</t>
    </rPh>
    <rPh sb="7" eb="8">
      <t>メイ</t>
    </rPh>
    <phoneticPr fontId="8"/>
  </si>
  <si>
    <t>大項目ID/大項目名</t>
    <rPh sb="0" eb="3">
      <t>ダイコウモク</t>
    </rPh>
    <rPh sb="6" eb="9">
      <t>ダイコウモク</t>
    </rPh>
    <rPh sb="9" eb="10">
      <t>メイ</t>
    </rPh>
    <phoneticPr fontId="8"/>
  </si>
  <si>
    <t>作成者/作成日</t>
    <phoneticPr fontId="8"/>
  </si>
  <si>
    <t>更新者/更新日</t>
    <rPh sb="0" eb="3">
      <t>コウシンシャ</t>
    </rPh>
    <rPh sb="4" eb="7">
      <t>コウシンビ</t>
    </rPh>
    <phoneticPr fontId="8"/>
  </si>
  <si>
    <t>レビュー実施者/
レビュー日</t>
    <rPh sb="13" eb="14">
      <t>ビ</t>
    </rPh>
    <phoneticPr fontId="8"/>
  </si>
  <si>
    <t>特記事項</t>
    <rPh sb="0" eb="2">
      <t>トッキ</t>
    </rPh>
    <rPh sb="2" eb="4">
      <t>ジコウ</t>
    </rPh>
    <phoneticPr fontId="8"/>
  </si>
  <si>
    <t>特になし</t>
    <rPh sb="0" eb="1">
      <t>トク</t>
    </rPh>
    <phoneticPr fontId="2"/>
  </si>
  <si>
    <t>分類</t>
    <rPh sb="0" eb="2">
      <t>ブンルイ</t>
    </rPh>
    <phoneticPr fontId="2"/>
  </si>
  <si>
    <t>試験項目</t>
    <rPh sb="0" eb="2">
      <t>シケン</t>
    </rPh>
    <rPh sb="2" eb="4">
      <t>コウモク</t>
    </rPh>
    <phoneticPr fontId="2"/>
  </si>
  <si>
    <t>試験条件</t>
    <rPh sb="0" eb="2">
      <t>シケン</t>
    </rPh>
    <rPh sb="2" eb="4">
      <t>ジョウケン</t>
    </rPh>
    <phoneticPr fontId="2"/>
  </si>
  <si>
    <t>確認内容</t>
    <rPh sb="0" eb="2">
      <t>カクニン</t>
    </rPh>
    <rPh sb="2" eb="4">
      <t>ナイヨウ</t>
    </rPh>
    <phoneticPr fontId="2"/>
  </si>
  <si>
    <t>確認方法</t>
    <rPh sb="0" eb="2">
      <t>カクニン</t>
    </rPh>
    <rPh sb="2" eb="4">
      <t>ホウホウ</t>
    </rPh>
    <phoneticPr fontId="2"/>
  </si>
  <si>
    <t>大中項目へ</t>
    <rPh sb="0" eb="2">
      <t>ダイチュウ</t>
    </rPh>
    <rPh sb="2" eb="4">
      <t>コウモク</t>
    </rPh>
    <phoneticPr fontId="2"/>
  </si>
  <si>
    <t>Case
ID</t>
    <phoneticPr fontId="2"/>
  </si>
  <si>
    <t>正常</t>
  </si>
  <si>
    <t>試験条件詳細【実施条件】</t>
    <phoneticPr fontId="8"/>
  </si>
  <si>
    <t>試験条件詳細【事前条件】</t>
    <phoneticPr fontId="8"/>
  </si>
  <si>
    <t>試験条件詳細【実施条件】</t>
    <phoneticPr fontId="8"/>
  </si>
  <si>
    <t>試験条件詳細【実施条件】</t>
    <phoneticPr fontId="8"/>
  </si>
  <si>
    <t>試験条件詳細【実施条件】</t>
    <phoneticPr fontId="8"/>
  </si>
  <si>
    <t>総件数</t>
    <rPh sb="0" eb="3">
      <t>ソウケンスウ</t>
    </rPh>
    <phoneticPr fontId="2"/>
  </si>
  <si>
    <t>JMS</t>
    <phoneticPr fontId="2"/>
  </si>
  <si>
    <t>コネクションファクトリ定義方法</t>
    <rPh sb="11" eb="13">
      <t>テイギ</t>
    </rPh>
    <rPh sb="13" eb="15">
      <t>ホウホウ</t>
    </rPh>
    <phoneticPr fontId="2"/>
  </si>
  <si>
    <t>CachingConnectionFactoryを使用する場合の動作を確認する。</t>
    <rPh sb="25" eb="27">
      <t>シヨウ</t>
    </rPh>
    <rPh sb="29" eb="31">
      <t>バアイ</t>
    </rPh>
    <rPh sb="32" eb="34">
      <t>ドウサ</t>
    </rPh>
    <rPh sb="35" eb="37">
      <t>カクニン</t>
    </rPh>
    <phoneticPr fontId="2"/>
  </si>
  <si>
    <t>Destinationの名前解決</t>
    <rPh sb="12" eb="14">
      <t>ナマエ</t>
    </rPh>
    <rPh sb="14" eb="16">
      <t>カイケツ</t>
    </rPh>
    <phoneticPr fontId="2"/>
  </si>
  <si>
    <t>メッセージ送信</t>
    <rPh sb="5" eb="7">
      <t>ソウシン</t>
    </rPh>
    <phoneticPr fontId="2"/>
  </si>
  <si>
    <t>同一メッセージの大量送信の動作を確認する。</t>
    <rPh sb="0" eb="2">
      <t>ドウイツ</t>
    </rPh>
    <rPh sb="8" eb="10">
      <t>タイリョウ</t>
    </rPh>
    <rPh sb="10" eb="12">
      <t>ソウシン</t>
    </rPh>
    <rPh sb="13" eb="15">
      <t>ドウサ</t>
    </rPh>
    <rPh sb="16" eb="18">
      <t>カクニン</t>
    </rPh>
    <phoneticPr fontId="2"/>
  </si>
  <si>
    <t>ProducerCallbackによるメッセージ送信の動作を確認する。</t>
    <rPh sb="24" eb="26">
      <t>ソウシン</t>
    </rPh>
    <rPh sb="27" eb="29">
      <t>ドウサ</t>
    </rPh>
    <rPh sb="30" eb="32">
      <t>カクニン</t>
    </rPh>
    <phoneticPr fontId="2"/>
  </si>
  <si>
    <t>メッセージ非同期受信</t>
    <rPh sb="5" eb="8">
      <t>ヒドウキ</t>
    </rPh>
    <rPh sb="8" eb="10">
      <t>ジュシン</t>
    </rPh>
    <phoneticPr fontId="2"/>
  </si>
  <si>
    <t>@JmsListenerによるメッセージの非同期受信の動作を確認する。</t>
    <rPh sb="28" eb="30">
      <t>ドウサ</t>
    </rPh>
    <rPh sb="31" eb="33">
      <t>カクニン</t>
    </rPh>
    <phoneticPr fontId="2"/>
  </si>
  <si>
    <t>メッセージの同期受信</t>
    <rPh sb="6" eb="8">
      <t>ドウキ</t>
    </rPh>
    <rPh sb="8" eb="10">
      <t>ジュシン</t>
    </rPh>
    <phoneticPr fontId="2"/>
  </si>
  <si>
    <t>メッセージの同期受信の動作を確認する。</t>
    <rPh sb="6" eb="8">
      <t>ドウキ</t>
    </rPh>
    <rPh sb="8" eb="10">
      <t>ジュシン</t>
    </rPh>
    <rPh sb="11" eb="13">
      <t>ドウサ</t>
    </rPh>
    <rPh sb="14" eb="16">
      <t>カクニン</t>
    </rPh>
    <phoneticPr fontId="2"/>
  </si>
  <si>
    <t>トランザクション管理</t>
    <rPh sb="8" eb="10">
      <t>カンリ</t>
    </rPh>
    <phoneticPr fontId="2"/>
  </si>
  <si>
    <t>JMSとDBの両方使用したときのトランザクション管理について動作を確認する。</t>
    <rPh sb="7" eb="9">
      <t>リョウホウ</t>
    </rPh>
    <rPh sb="9" eb="11">
      <t>シヨウ</t>
    </rPh>
    <rPh sb="24" eb="26">
      <t>カンリ</t>
    </rPh>
    <rPh sb="30" eb="32">
      <t>ドウサ</t>
    </rPh>
    <rPh sb="33" eb="35">
      <t>カクニン</t>
    </rPh>
    <phoneticPr fontId="2"/>
  </si>
  <si>
    <t>送信時のトランザクション管理について動作を確認する。</t>
    <rPh sb="0" eb="1">
      <t>ソウシン</t>
    </rPh>
    <rPh sb="1" eb="2">
      <t>ジ</t>
    </rPh>
    <rPh sb="11" eb="13">
      <t>カンリ</t>
    </rPh>
    <rPh sb="18" eb="20">
      <t>ドウサ</t>
    </rPh>
    <rPh sb="21" eb="23">
      <t>カクニン</t>
    </rPh>
    <phoneticPr fontId="2"/>
  </si>
  <si>
    <t>受信時のトランザクション管理について動作を確認する。</t>
    <rPh sb="0" eb="1">
      <t>ジュシン</t>
    </rPh>
    <rPh sb="1" eb="2">
      <t>ジ</t>
    </rPh>
    <rPh sb="11" eb="13">
      <t>カンリ</t>
    </rPh>
    <rPh sb="18" eb="20">
      <t>ドウサ</t>
    </rPh>
    <rPh sb="21" eb="23">
      <t>カクニン</t>
    </rPh>
    <phoneticPr fontId="2"/>
  </si>
  <si>
    <t>受信データの入力チェック</t>
    <rPh sb="0" eb="2">
      <t>ジュシン</t>
    </rPh>
    <rPh sb="6" eb="8">
      <t>ニュウリョク</t>
    </rPh>
    <phoneticPr fontId="2"/>
  </si>
  <si>
    <t>BeanValidationによる入力チェックの動作を確認する。</t>
    <rPh sb="17" eb="19">
      <t>ニュウリョク</t>
    </rPh>
    <rPh sb="24" eb="26">
      <t>ドウサ</t>
    </rPh>
    <rPh sb="27" eb="29">
      <t>カクニン</t>
    </rPh>
    <phoneticPr fontId="2"/>
  </si>
  <si>
    <t>例外処理</t>
    <rPh sb="0" eb="2">
      <t>レイガイ</t>
    </rPh>
    <rPh sb="2" eb="4">
      <t>ショリ</t>
    </rPh>
    <phoneticPr fontId="2"/>
  </si>
  <si>
    <t>入力チェックエラー時の例外処理について動作を確認する。</t>
    <rPh sb="0" eb="2">
      <t>ニュウリョク</t>
    </rPh>
    <rPh sb="9" eb="10">
      <t>ジ</t>
    </rPh>
    <rPh sb="11" eb="13">
      <t>レイガイ</t>
    </rPh>
    <rPh sb="13" eb="15">
      <t>ショリ</t>
    </rPh>
    <rPh sb="19" eb="21">
      <t>ドウサ</t>
    </rPh>
    <rPh sb="22" eb="24">
      <t>カクニン</t>
    </rPh>
    <phoneticPr fontId="2"/>
  </si>
  <si>
    <t>非同期受信メソッド内で例外をスローしたときの例外処理について動作を確認する。</t>
    <rPh sb="0" eb="3">
      <t>ヒドウキ</t>
    </rPh>
    <rPh sb="3" eb="5">
      <t>ジュシン</t>
    </rPh>
    <rPh sb="9" eb="10">
      <t>ナイ</t>
    </rPh>
    <rPh sb="11" eb="13">
      <t>レイガイ</t>
    </rPh>
    <rPh sb="22" eb="24">
      <t>レイガイ</t>
    </rPh>
    <rPh sb="24" eb="26">
      <t>ショリ</t>
    </rPh>
    <rPh sb="30" eb="32">
      <t>ドウサ</t>
    </rPh>
    <rPh sb="33" eb="35">
      <t>カクニン</t>
    </rPh>
    <phoneticPr fontId="2"/>
  </si>
  <si>
    <t>サイズの大きなデータの送受信</t>
    <rPh sb="4" eb="5">
      <t>オオ</t>
    </rPh>
    <rPh sb="11" eb="14">
      <t>ソウジュシン</t>
    </rPh>
    <phoneticPr fontId="2"/>
  </si>
  <si>
    <t>ActiveMQでBlobMessageを用いたサイズの大きなデータの送受信について動作を確認する。</t>
    <rPh sb="21" eb="22">
      <t>モチ</t>
    </rPh>
    <rPh sb="28" eb="29">
      <t>オオ</t>
    </rPh>
    <rPh sb="35" eb="38">
      <t>ソウジュシン</t>
    </rPh>
    <rPh sb="42" eb="44">
      <t>ドウサ</t>
    </rPh>
    <rPh sb="45" eb="47">
      <t>カクニン</t>
    </rPh>
    <phoneticPr fontId="2"/>
  </si>
  <si>
    <t>ActiveMQ固有の定義でコネクションファクトリを使用する場合の動作を確認する。</t>
    <rPh sb="8" eb="10">
      <t>コユウ</t>
    </rPh>
    <rPh sb="11" eb="13">
      <t>テイギ</t>
    </rPh>
    <rPh sb="26" eb="28">
      <t>シヨウ</t>
    </rPh>
    <rPh sb="30" eb="32">
      <t>バアイ</t>
    </rPh>
    <rPh sb="33" eb="35">
      <t>ドウサ</t>
    </rPh>
    <rPh sb="36" eb="38">
      <t>カクニン</t>
    </rPh>
    <phoneticPr fontId="2"/>
  </si>
  <si>
    <t>JNDI名による名前解決でコネクションファクトリを使用する場合の動作を確認する。</t>
    <rPh sb="4" eb="5">
      <t>メイ</t>
    </rPh>
    <rPh sb="8" eb="10">
      <t>ナマエ</t>
    </rPh>
    <rPh sb="10" eb="12">
      <t>カイケツ</t>
    </rPh>
    <rPh sb="25" eb="27">
      <t>シヨウ</t>
    </rPh>
    <rPh sb="29" eb="31">
      <t>バアイ</t>
    </rPh>
    <rPh sb="32" eb="34">
      <t>ドウサ</t>
    </rPh>
    <rPh sb="35" eb="37">
      <t>カクニン</t>
    </rPh>
    <phoneticPr fontId="2"/>
  </si>
  <si>
    <t>JNDI名によりコネクションファクトリを取得し、メッセージの送受信を行う。</t>
    <rPh sb="4" eb="5">
      <t>メイ</t>
    </rPh>
    <rPh sb="20" eb="22">
      <t>シュトク</t>
    </rPh>
    <rPh sb="30" eb="33">
      <t>ソウジュシン</t>
    </rPh>
    <rPh sb="34" eb="35">
      <t>オコナ</t>
    </rPh>
    <phoneticPr fontId="2"/>
  </si>
  <si>
    <t>CachingConnectionFactoryを使用し、メッセージの送受信を行う。</t>
    <rPh sb="25" eb="27">
      <t>シヨウ</t>
    </rPh>
    <rPh sb="35" eb="38">
      <t>ソウジュシン</t>
    </rPh>
    <rPh sb="39" eb="40">
      <t>オコナ</t>
    </rPh>
    <phoneticPr fontId="2"/>
  </si>
  <si>
    <t>同一メッセージの大量送信の動作を確認する。</t>
    <phoneticPr fontId="2"/>
  </si>
  <si>
    <t>JmsTemplate、JmsMessagingTemplateを使用したメッセージ送信の動作を確認する。</t>
    <rPh sb="33" eb="35">
      <t>シヨウ</t>
    </rPh>
    <rPh sb="42" eb="44">
      <t>ソウシン</t>
    </rPh>
    <rPh sb="45" eb="47">
      <t>ドウサ</t>
    </rPh>
    <rPh sb="48" eb="50">
      <t>カクニン</t>
    </rPh>
    <phoneticPr fontId="2"/>
  </si>
  <si>
    <t>ActiveMQ固有の定義でコネクションファクトリを取得し、メッセージの送受信を行う。
※ActiveMQ環境のみで試験を実施</t>
    <rPh sb="8" eb="10">
      <t>コユウ</t>
    </rPh>
    <rPh sb="11" eb="13">
      <t>テイギ</t>
    </rPh>
    <rPh sb="26" eb="28">
      <t>シュトク</t>
    </rPh>
    <rPh sb="36" eb="39">
      <t>ソウジュシン</t>
    </rPh>
    <rPh sb="40" eb="41">
      <t>オコナ</t>
    </rPh>
    <rPh sb="54" eb="56">
      <t>カンキョウ</t>
    </rPh>
    <rPh sb="59" eb="61">
      <t>シケン</t>
    </rPh>
    <rPh sb="62" eb="64">
      <t>ジッシ</t>
    </rPh>
    <phoneticPr fontId="2"/>
  </si>
  <si>
    <t xml:space="preserve">JmsTemplateを用いJMSのMessageを送信する。
</t>
    <rPh sb="12" eb="13">
      <t>モチ</t>
    </rPh>
    <rPh sb="26" eb="28">
      <t>ソウシン</t>
    </rPh>
    <phoneticPr fontId="2"/>
  </si>
  <si>
    <t>ActiveMQ固有の定義でコネクションファクトリを取得し、メッセージが送受信できることを確認する。</t>
    <rPh sb="26" eb="28">
      <t>シュトク</t>
    </rPh>
    <rPh sb="36" eb="39">
      <t>ソウジュシン</t>
    </rPh>
    <rPh sb="45" eb="47">
      <t>カクニン</t>
    </rPh>
    <phoneticPr fontId="2"/>
  </si>
  <si>
    <t>JNDI名による名前解決でコネクションファクトリを取得し、メッセージが送受信できることを確認する。</t>
    <rPh sb="25" eb="27">
      <t>シュトク</t>
    </rPh>
    <rPh sb="35" eb="38">
      <t>ソウジュシン</t>
    </rPh>
    <rPh sb="44" eb="46">
      <t>カクニン</t>
    </rPh>
    <phoneticPr fontId="2"/>
  </si>
  <si>
    <t>CachingConnectionFactoryを使用し、メッセージが送受信できることを確認する。</t>
    <rPh sb="35" eb="38">
      <t>ソウジュシン</t>
    </rPh>
    <rPh sb="44" eb="46">
      <t>カクニン</t>
    </rPh>
    <phoneticPr fontId="2"/>
  </si>
  <si>
    <t>JmsMessagingTemplateのconvertAndSendメソッドを使用し、Todoクラスのオブジェクトを送信する。</t>
    <rPh sb="40" eb="42">
      <t>シヨウ</t>
    </rPh>
    <rPh sb="59" eb="61">
      <t>ソウシン</t>
    </rPh>
    <phoneticPr fontId="2"/>
  </si>
  <si>
    <t>JmsTemplateを使用し、JMSのMessageが送信できることを確認する。</t>
    <rPh sb="28" eb="30">
      <t>ソウシン</t>
    </rPh>
    <rPh sb="36" eb="38">
      <t>カクニン</t>
    </rPh>
    <phoneticPr fontId="2"/>
  </si>
  <si>
    <t>JmsMessagingTemplateのconvertAndSendを使用しメッセージ送信ができることを確認する。</t>
    <rPh sb="53" eb="55">
      <t>カクニン</t>
    </rPh>
    <phoneticPr fontId="2"/>
  </si>
  <si>
    <t>JmsMessagingTemplateのsendメソッドを使用しメッセージ送信ができることを確認する。</t>
    <rPh sb="47" eb="49">
      <t>カクニン</t>
    </rPh>
    <phoneticPr fontId="2"/>
  </si>
  <si>
    <t>MessageCreatorをループ外で作成し、同一メッセージの大量送信を行う。</t>
    <rPh sb="18" eb="19">
      <t>ガイ</t>
    </rPh>
    <rPh sb="20" eb="22">
      <t>サクセイ</t>
    </rPh>
    <rPh sb="24" eb="26">
      <t>ドウイツ</t>
    </rPh>
    <rPh sb="32" eb="34">
      <t>タイリョウ</t>
    </rPh>
    <rPh sb="34" eb="36">
      <t>ソウシン</t>
    </rPh>
    <rPh sb="37" eb="38">
      <t>オコナ</t>
    </rPh>
    <phoneticPr fontId="2"/>
  </si>
  <si>
    <t>@JmsListenerにより、メッセージの非同期受信ができることを確認する。</t>
    <rPh sb="22" eb="25">
      <t>ヒドウキ</t>
    </rPh>
    <rPh sb="25" eb="27">
      <t>ジュシン</t>
    </rPh>
    <rPh sb="34" eb="36">
      <t>カクニン</t>
    </rPh>
    <phoneticPr fontId="2"/>
  </si>
  <si>
    <t>@SendToにより、メッセージが送信できることを確認する。</t>
    <rPh sb="17" eb="19">
      <t>ソウシン</t>
    </rPh>
    <rPh sb="25" eb="27">
      <t>カクニン</t>
    </rPh>
    <phoneticPr fontId="2"/>
  </si>
  <si>
    <t>@JmsListenerによりメッセージを指定したDestinationから非同期で受信する。</t>
    <rPh sb="21" eb="23">
      <t>シテイ</t>
    </rPh>
    <rPh sb="39" eb="42">
      <t>ヒドウキ</t>
    </rPh>
    <rPh sb="43" eb="45">
      <t>ジュシン</t>
    </rPh>
    <phoneticPr fontId="2"/>
  </si>
  <si>
    <t>@SendToにより指定したDestinationに対してメッセージを送信する。</t>
    <rPh sb="10" eb="12">
      <t>シテイ</t>
    </rPh>
    <rPh sb="26" eb="27">
      <t>タイ</t>
    </rPh>
    <rPh sb="35" eb="37">
      <t>ソウシン</t>
    </rPh>
    <phoneticPr fontId="2"/>
  </si>
  <si>
    <t>JmsResponse.forQueueにより指定したDestinationに対してメッセージを送信する。</t>
    <rPh sb="22" eb="24">
      <t>シテイ</t>
    </rPh>
    <rPh sb="38" eb="39">
      <t>タイ</t>
    </rPh>
    <rPh sb="47" eb="49">
      <t>ソウシン</t>
    </rPh>
    <phoneticPr fontId="2"/>
  </si>
  <si>
    <t>メッセージの同期受信の動作を確認する。</t>
    <phoneticPr fontId="2"/>
  </si>
  <si>
    <t>selectorによりメッセージの絞込みができることを確認する。</t>
    <rPh sb="16" eb="18">
      <t>シボリコ</t>
    </rPh>
    <rPh sb="26" eb="28">
      <t>カクニン</t>
    </rPh>
    <phoneticPr fontId="2"/>
  </si>
  <si>
    <t>@JmsListenerの属性であるselectorにより、受信するメッセージの絞込みを行う。</t>
    <rPh sb="13" eb="15">
      <t>ゾクセイ</t>
    </rPh>
    <rPh sb="30" eb="32">
      <t>ジュシン</t>
    </rPh>
    <rPh sb="40" eb="42">
      <t>シボリコ</t>
    </rPh>
    <rPh sb="44" eb="45">
      <t>オコナ</t>
    </rPh>
    <phoneticPr fontId="2"/>
  </si>
  <si>
    <t>JmsMessagingTemplateメソッドのreceiveAndConvertメソッドによりメッセージを同期で受信する。</t>
    <rPh sb="55" eb="57">
      <t>ドウキ</t>
    </rPh>
    <rPh sb="58" eb="60">
      <t>ジュシン</t>
    </rPh>
    <phoneticPr fontId="2"/>
  </si>
  <si>
    <t>送信時のトランザクション管理について動作を確認する。</t>
    <phoneticPr fontId="2"/>
  </si>
  <si>
    <t>受信データの入力チェック</t>
    <phoneticPr fontId="2"/>
  </si>
  <si>
    <t>BeanValidationによる入力チェックの動作を確認する。</t>
    <phoneticPr fontId="2"/>
  </si>
  <si>
    <t>入力チェックエラー時の例外処理について動作を確認する。</t>
    <phoneticPr fontId="2"/>
  </si>
  <si>
    <t>非同期受信メソッド内で例外をスローしたときの例外処理について動作を確認する。</t>
    <phoneticPr fontId="2"/>
  </si>
  <si>
    <t>ActiveMQでBlobMessageを用いたサイズの大きなデータの送受信について動作を確認する。</t>
    <phoneticPr fontId="2"/>
  </si>
  <si>
    <t>サイズの大きなデータの送受信</t>
    <phoneticPr fontId="2"/>
  </si>
  <si>
    <t>JMSS</t>
    <phoneticPr fontId="2"/>
  </si>
  <si>
    <t>JmsMessagingTemplateのsendメソッドにより、SpringのMessageを送信する。</t>
    <rPh sb="48" eb="50">
      <t>ソウシン</t>
    </rPh>
    <phoneticPr fontId="2"/>
  </si>
  <si>
    <t>JmsMessagingTemplateのconvertAndSendメソッドにより、Todoクラスのオブジェクトを送信する。</t>
    <rPh sb="58" eb="60">
      <t>ソウシン</t>
    </rPh>
    <phoneticPr fontId="2"/>
  </si>
  <si>
    <t>JmsMessagingTemplateのconvertAndSendメソッドにより、Todoクラスのオブジェクトを送信する。</t>
    <phoneticPr fontId="2"/>
  </si>
  <si>
    <t>BeanValidationによる入力チェックエラー時にエラーハンドリングが呼ばれることを確認する。</t>
    <rPh sb="26" eb="27">
      <t>ジ</t>
    </rPh>
    <rPh sb="38" eb="39">
      <t>ヨ</t>
    </rPh>
    <rPh sb="45" eb="47">
      <t>カクニン</t>
    </rPh>
    <phoneticPr fontId="2"/>
  </si>
  <si>
    <t>非同期受信メッセージリスナー内で例外をスローしたときにエラーハンドリングが呼ばれることを確認する。</t>
    <rPh sb="0" eb="2">
      <t>ヒドウキ</t>
    </rPh>
    <rPh sb="2" eb="4">
      <t>ジュシン</t>
    </rPh>
    <rPh sb="13" eb="14">
      <t>ナイ</t>
    </rPh>
    <rPh sb="15" eb="17">
      <t>レイガイ</t>
    </rPh>
    <rPh sb="37" eb="38">
      <t>ヨ</t>
    </rPh>
    <rPh sb="44" eb="46">
      <t>カクニン</t>
    </rPh>
    <phoneticPr fontId="2"/>
  </si>
  <si>
    <t>JmsMessagingTemplateのsendメソッドにより、SpringのMessageをトピックに送信する。</t>
    <rPh sb="53" eb="55">
      <t>ソウシン</t>
    </rPh>
    <phoneticPr fontId="2"/>
  </si>
  <si>
    <t>JMSとDB両方使用し、Best Effort 1 Phase Commitになっていることを確認する。</t>
    <rPh sb="5" eb="7">
      <t>リョウホウ</t>
    </rPh>
    <rPh sb="7" eb="9">
      <t>シヨウ</t>
    </rPh>
    <rPh sb="47" eb="49">
      <t>カクニン</t>
    </rPh>
    <phoneticPr fontId="2"/>
  </si>
  <si>
    <t>物理名によるDestinationの名前解決が行えることを確認する。</t>
    <rPh sb="0" eb="2">
      <t>ブツリ</t>
    </rPh>
    <rPh sb="2" eb="3">
      <t>メイ</t>
    </rPh>
    <rPh sb="18" eb="20">
      <t>ナマエ</t>
    </rPh>
    <rPh sb="20" eb="22">
      <t>カイケツ</t>
    </rPh>
    <rPh sb="23" eb="24">
      <t>オコナ</t>
    </rPh>
    <rPh sb="29" eb="31">
      <t>カクニン</t>
    </rPh>
    <phoneticPr fontId="2"/>
  </si>
  <si>
    <t>JNDI名によるDestinationの名前解決が行えることを確認する。</t>
    <rPh sb="4" eb="5">
      <t>メイ</t>
    </rPh>
    <rPh sb="20" eb="22">
      <t>ナマエ</t>
    </rPh>
    <rPh sb="22" eb="24">
      <t>カイケツ</t>
    </rPh>
    <rPh sb="25" eb="26">
      <t>オコナ</t>
    </rPh>
    <rPh sb="31" eb="33">
      <t>カクニン</t>
    </rPh>
    <phoneticPr fontId="2"/>
  </si>
  <si>
    <t>@SendToによるメッセージ送信の動作を確認する。</t>
    <rPh sb="15" eb="17">
      <t>ソウシン</t>
    </rPh>
    <rPh sb="19" eb="21">
      <t>ドウサ</t>
    </rPh>
    <rPh sb="22" eb="24">
      <t>カクニン</t>
    </rPh>
    <phoneticPr fontId="2"/>
  </si>
  <si>
    <t>JmsResponse.forQueueによるメッセージ送信の動作を確認する。</t>
    <rPh sb="28" eb="30">
      <t>ソウシン</t>
    </rPh>
    <rPh sb="31" eb="33">
      <t>ドウサ</t>
    </rPh>
    <rPh sb="34" eb="36">
      <t>カクニン</t>
    </rPh>
    <phoneticPr fontId="2"/>
  </si>
  <si>
    <t>メッセージがキューに送信されること。
送信したメッセージをキューから受信できること。
受信したメッセージの内容が送信したメッセージと一致すること。</t>
    <rPh sb="10" eb="12">
      <t>ソウシン</t>
    </rPh>
    <rPh sb="20" eb="22">
      <t>ソウシン</t>
    </rPh>
    <rPh sb="35" eb="37">
      <t>ジュシン</t>
    </rPh>
    <rPh sb="45" eb="47">
      <t>ジュシン</t>
    </rPh>
    <rPh sb="55" eb="57">
      <t>ナイヨウ</t>
    </rPh>
    <rPh sb="58" eb="60">
      <t>ソウシン</t>
    </rPh>
    <rPh sb="68" eb="70">
      <t>イッチ</t>
    </rPh>
    <phoneticPr fontId="2"/>
  </si>
  <si>
    <t>DynamicDestinationResolverを利用してDestinationの名前解決を行い、指定したDestinationにメッセージを送信する。</t>
    <rPh sb="27" eb="29">
      <t>リヨウ</t>
    </rPh>
    <rPh sb="43" eb="45">
      <t>ナマエ</t>
    </rPh>
    <rPh sb="45" eb="47">
      <t>カイケツ</t>
    </rPh>
    <rPh sb="48" eb="49">
      <t>オコナ</t>
    </rPh>
    <rPh sb="51" eb="53">
      <t>シテイ</t>
    </rPh>
    <rPh sb="73" eb="75">
      <t>ソウシン</t>
    </rPh>
    <phoneticPr fontId="2"/>
  </si>
  <si>
    <t>JndiDestinationResolverを利用してDestinationの名前解決を行い、指定したDestinationにメッセージを送信する。</t>
    <phoneticPr fontId="2"/>
  </si>
  <si>
    <t>JmsMessagingTemplateのsendメソッドを使用しトピックにメッセージ送信ができることを確認する。</t>
    <rPh sb="52" eb="54">
      <t>カクニン</t>
    </rPh>
    <phoneticPr fontId="2"/>
  </si>
  <si>
    <t>JmsMessagingTemplateのconvertAndSendメソッドを使用し、TopicにSpringのMessageを送信する。</t>
    <rPh sb="40" eb="42">
      <t>シヨウ</t>
    </rPh>
    <rPh sb="65" eb="67">
      <t>ソウシン</t>
    </rPh>
    <phoneticPr fontId="2"/>
  </si>
  <si>
    <t>メッセージがトピックに送信されること。
送信したメッセージをトピックから受信できること。
受信したメッセージの内容が送信したメッセージと一致すること。</t>
    <phoneticPr fontId="2"/>
  </si>
  <si>
    <t xml:space="preserve">任意の内容のメッセージをキューに送信する。
</t>
    <rPh sb="3" eb="5">
      <t>ナイヨウ</t>
    </rPh>
    <rPh sb="16" eb="18">
      <t>ソウシン</t>
    </rPh>
    <phoneticPr fontId="2"/>
  </si>
  <si>
    <t>ActiveMQ固有のコネクションファクトリを定義する。
コネクションファクトリクラスにActiveMQConnectionFactory、URLにActiveMQが動作するIPとポートを指定する。
・JmsTemplateをBean定義し、上記で定義したコネクションファクトリを指定する。
※キュー「TestQueue0101001」（物理名)</t>
    <rPh sb="8" eb="10">
      <t>コユウ</t>
    </rPh>
    <rPh sb="23" eb="25">
      <t>テイギ</t>
    </rPh>
    <rPh sb="84" eb="86">
      <t>ドウサ</t>
    </rPh>
    <rPh sb="95" eb="97">
      <t>シテイ</t>
    </rPh>
    <rPh sb="119" eb="121">
      <t>テイギ</t>
    </rPh>
    <rPh sb="123" eb="125">
      <t>ジョウキ</t>
    </rPh>
    <rPh sb="126" eb="128">
      <t>テイギ</t>
    </rPh>
    <rPh sb="142" eb="144">
      <t>シテイ</t>
    </rPh>
    <phoneticPr fontId="2"/>
  </si>
  <si>
    <t xml:space="preserve">任意の内容のメッセージをキューに送信する。
</t>
    <rPh sb="3" eb="5">
      <t>ナイヨウ</t>
    </rPh>
    <rPh sb="16" eb="18">
      <t>ソウシン</t>
    </rPh>
    <phoneticPr fontId="2"/>
  </si>
  <si>
    <t>JmsMessagingTemplateの送信メソッドにDestinationの物理名を指定し、任意のメッセージをキューに送信する。</t>
    <rPh sb="48" eb="50">
      <t>ニンイ</t>
    </rPh>
    <rPh sb="61" eb="63">
      <t>ソウシン</t>
    </rPh>
    <phoneticPr fontId="2"/>
  </si>
  <si>
    <t>JmsMessagingTemplateの送信メソッドにDestinationのJNDI名を指定し、任意のメッセージをキューに送信する。</t>
    <rPh sb="44" eb="45">
      <t>メイ</t>
    </rPh>
    <rPh sb="50" eb="52">
      <t>ニンイ</t>
    </rPh>
    <rPh sb="63" eb="65">
      <t>ソウシン</t>
    </rPh>
    <phoneticPr fontId="2"/>
  </si>
  <si>
    <t>メッセージがキューに送信されること。
送信したメッセージをキューから受信できること。
受信したメッセージの内容が送信したメッセージと一致すること。</t>
    <rPh sb="10" eb="12">
      <t>ソウシン</t>
    </rPh>
    <rPh sb="20" eb="22">
      <t>ソウシン</t>
    </rPh>
    <rPh sb="35" eb="37">
      <t>ジュシン</t>
    </rPh>
    <phoneticPr fontId="2"/>
  </si>
  <si>
    <t>JmsTemplateのsendメソッドにより、JMSのTextMessageを送信する。</t>
    <rPh sb="40" eb="42">
      <t>ソウシン</t>
    </rPh>
    <phoneticPr fontId="2"/>
  </si>
  <si>
    <t>ループの外でMessageCreatorを作成し、JmsTemplateのsendメソッドでメッセージを3件送信する。</t>
    <rPh sb="4" eb="5">
      <t>ソト</t>
    </rPh>
    <rPh sb="21" eb="23">
      <t>サクセイ</t>
    </rPh>
    <rPh sb="53" eb="54">
      <t>ケン</t>
    </rPh>
    <rPh sb="54" eb="56">
      <t>ソウシン</t>
    </rPh>
    <phoneticPr fontId="2"/>
  </si>
  <si>
    <t>メッセージがキューに送信されること。
送信したメッセージをキューから3件受信できること。
受信したメッセージの内容が送信したメッセージと一致すること。</t>
    <rPh sb="10" eb="12">
      <t>ソウシン</t>
    </rPh>
    <rPh sb="20" eb="22">
      <t>ソウシン</t>
    </rPh>
    <rPh sb="36" eb="37">
      <t>ケン</t>
    </rPh>
    <rPh sb="37" eb="39">
      <t>ジュシン</t>
    </rPh>
    <rPh sb="47" eb="49">
      <t>ジュシン</t>
    </rPh>
    <rPh sb="57" eb="59">
      <t>ナイヨウ</t>
    </rPh>
    <rPh sb="60" eb="62">
      <t>ソウシン</t>
    </rPh>
    <rPh sb="70" eb="72">
      <t>イッチ</t>
    </rPh>
    <phoneticPr fontId="2"/>
  </si>
  <si>
    <t xml:space="preserve">メッセージがキューに送信されること。
メッセージがキューから受信できないこと。
</t>
    <rPh sb="10" eb="12">
      <t>ソウシン</t>
    </rPh>
    <phoneticPr fontId="2"/>
  </si>
  <si>
    <t xml:space="preserve">メッセージがキュー1に送信されること。
メッセージがキュー1から受信できること。
SendToアノテーションに指定したキュー2に対し、メッセージが送信されること。
SendToアノテーションに指定したキュー2からメッセージが受信できること。
</t>
    <rPh sb="57" eb="59">
      <t>シテイ</t>
    </rPh>
    <rPh sb="66" eb="67">
      <t>タイ</t>
    </rPh>
    <rPh sb="75" eb="77">
      <t>ソウシン</t>
    </rPh>
    <rPh sb="115" eb="117">
      <t>ジュシン</t>
    </rPh>
    <phoneticPr fontId="2"/>
  </si>
  <si>
    <t>メッセージがキュー1に送信されること。
メッセージがキュー1から受信できること。
メッセージをキュー2に送信すること。
メッセージがキュー2から受信できること。</t>
    <rPh sb="54" eb="56">
      <t>ソウシン</t>
    </rPh>
    <rPh sb="75" eb="77">
      <t>ジュシン</t>
    </rPh>
    <phoneticPr fontId="2"/>
  </si>
  <si>
    <t>メッセージがキュー1に送信されること。
メッセージがキュー1から受信できること。
メッセージをキュー3に送信すること。
メッセージがキュー3から受信できること。</t>
    <rPh sb="54" eb="56">
      <t>ソウシン</t>
    </rPh>
    <rPh sb="75" eb="77">
      <t>ジュシン</t>
    </rPh>
    <phoneticPr fontId="2"/>
  </si>
  <si>
    <t>JmsMessagingTemplateのconvertAndSendメソッドにより、Todoクラスのオブジェクトを送信する。</t>
    <phoneticPr fontId="2"/>
  </si>
  <si>
    <t>JmsMessagingTemplateのconvertAndSendメソッドにより、Todoオブジェクトを送信し、非同期受信メッセージリスナー内で例外が発生させる。</t>
    <rPh sb="54" eb="56">
      <t>ソウシン</t>
    </rPh>
    <rPh sb="58" eb="61">
      <t>ヒドウキ</t>
    </rPh>
    <rPh sb="61" eb="63">
      <t>ジュシン</t>
    </rPh>
    <rPh sb="72" eb="73">
      <t>ナイ</t>
    </rPh>
    <rPh sb="74" eb="76">
      <t>レイガイ</t>
    </rPh>
    <rPh sb="77" eb="79">
      <t>ハッセイ</t>
    </rPh>
    <phoneticPr fontId="2"/>
  </si>
  <si>
    <t>BlobMessageにInputStream形式のデータを設定し、メッセージを送信する。</t>
    <rPh sb="23" eb="25">
      <t>ケイシキ</t>
    </rPh>
    <rPh sb="30" eb="32">
      <t>セッテイ</t>
    </rPh>
    <rPh sb="40" eb="42">
      <t>ソウシン</t>
    </rPh>
    <phoneticPr fontId="2"/>
  </si>
  <si>
    <t>JmsMessagingTemplateのreceiveAndConvertメソッドにより、Todoクラスのオブジェクトを受信する。</t>
    <rPh sb="61" eb="63">
      <t>ジュシン</t>
    </rPh>
    <phoneticPr fontId="2"/>
  </si>
  <si>
    <t>メッセージがキューに戻されていること。（ロールバックされていること。）</t>
    <rPh sb="10" eb="11">
      <t>モド</t>
    </rPh>
    <phoneticPr fontId="2"/>
  </si>
  <si>
    <t>メッセージがキューに格納されていないこと。（ロールバックされていること。）</t>
    <rPh sb="10" eb="12">
      <t>カクノウ</t>
    </rPh>
    <phoneticPr fontId="2"/>
  </si>
  <si>
    <t>メッセージの受信時に例外が発生した場合、メッセージがキューに戻されることを確認する。
（メッセージがロールバックされることを確認)</t>
    <rPh sb="5" eb="7">
      <t>ジュシン</t>
    </rPh>
    <rPh sb="7" eb="8">
      <t>ジ</t>
    </rPh>
    <rPh sb="9" eb="11">
      <t>レイガイ</t>
    </rPh>
    <rPh sb="12" eb="14">
      <t>ハッセイ</t>
    </rPh>
    <rPh sb="16" eb="18">
      <t>バアイ</t>
    </rPh>
    <rPh sb="29" eb="30">
      <t>モド</t>
    </rPh>
    <rPh sb="36" eb="38">
      <t>カクニン</t>
    </rPh>
    <rPh sb="61" eb="63">
      <t>カクニン</t>
    </rPh>
    <phoneticPr fontId="2"/>
  </si>
  <si>
    <t>メッセージの送信時に例外が発生した場合、メッセージがキューに送信されないことを確認する。
（メッセージがロールバックされることを確認）</t>
    <rPh sb="5" eb="7">
      <t>ソウシン</t>
    </rPh>
    <rPh sb="7" eb="8">
      <t>ジ</t>
    </rPh>
    <rPh sb="9" eb="11">
      <t>レイガイ</t>
    </rPh>
    <rPh sb="12" eb="14">
      <t>ハッセイ</t>
    </rPh>
    <rPh sb="16" eb="18">
      <t>バアイ</t>
    </rPh>
    <rPh sb="30" eb="32">
      <t>ソウシン</t>
    </rPh>
    <rPh sb="39" eb="41">
      <t>カクニン</t>
    </rPh>
    <rPh sb="63" eb="65">
      <t>カクニン</t>
    </rPh>
    <phoneticPr fontId="2"/>
  </si>
  <si>
    <t>物理名によりDestinationの名前解決ができることを確認する。</t>
    <rPh sb="18" eb="20">
      <t>ナマエ</t>
    </rPh>
    <rPh sb="20" eb="22">
      <t>カイケツ</t>
    </rPh>
    <rPh sb="29" eb="31">
      <t>カクニン</t>
    </rPh>
    <phoneticPr fontId="2"/>
  </si>
  <si>
    <t>JNDI名によりDestinationの名前解決ができることを確認する。</t>
    <rPh sb="20" eb="22">
      <t>ナマエ</t>
    </rPh>
    <rPh sb="22" eb="24">
      <t>カイケツ</t>
    </rPh>
    <rPh sb="31" eb="33">
      <t>カクニン</t>
    </rPh>
    <phoneticPr fontId="2"/>
  </si>
  <si>
    <t>JmsMessagingTemplateのsendメソッドを使用し、SpringのMessageにヘッダ項目を追加して送信する。</t>
    <rPh sb="30" eb="32">
      <t>シヨウ</t>
    </rPh>
    <rPh sb="52" eb="54">
      <t>コウモク</t>
    </rPh>
    <rPh sb="55" eb="57">
      <t>ツイカ</t>
    </rPh>
    <rPh sb="59" eb="61">
      <t>ソウシン</t>
    </rPh>
    <phoneticPr fontId="2"/>
  </si>
  <si>
    <t xml:space="preserve">メッセージがキューに送信されること。
メッセージがキューから受信できること。
受信したメッセージの内容が送信したメッセージと一致すること。
</t>
    <rPh sb="10" eb="12">
      <t>ソウシン</t>
    </rPh>
    <rPh sb="31" eb="33">
      <t>ジュシン</t>
    </rPh>
    <phoneticPr fontId="2"/>
  </si>
  <si>
    <t>サーバーエラー</t>
  </si>
  <si>
    <t xml:space="preserve">メッセージがキューに送信されること。
送信したメッセージをキューから同期受信できること。
受信したメッセージの内容が送信したメッセージと一致すること。
</t>
    <rPh sb="35" eb="37">
      <t>ドウキ</t>
    </rPh>
    <phoneticPr fontId="2"/>
  </si>
  <si>
    <t>正常</t>
    <rPh sb="0" eb="2">
      <t>セイジョウ</t>
    </rPh>
    <phoneticPr fontId="2"/>
  </si>
  <si>
    <t>メッセージの送信時に例外が発生しない場合、メッセージがキューに送信されることを確認する。</t>
    <rPh sb="5" eb="7">
      <t>ソウシン</t>
    </rPh>
    <rPh sb="7" eb="8">
      <t>ジ</t>
    </rPh>
    <rPh sb="9" eb="11">
      <t>レイガイ</t>
    </rPh>
    <rPh sb="12" eb="14">
      <t>ハッセイ</t>
    </rPh>
    <rPh sb="18" eb="20">
      <t>バアイ</t>
    </rPh>
    <rPh sb="31" eb="33">
      <t>ソウシン</t>
    </rPh>
    <rPh sb="39" eb="41">
      <t>カクニン</t>
    </rPh>
    <phoneticPr fontId="2"/>
  </si>
  <si>
    <t xml:space="preserve">メッセージがキューに送信されること。
送信したメッセージをキューから受信できること。
受信したメッセージの内容が送信したメッセージと一致すること。
</t>
    <rPh sb="35" eb="37">
      <t>ジュシン</t>
    </rPh>
    <phoneticPr fontId="2"/>
  </si>
  <si>
    <t>メッセージの受信時に例外が発生しない場合、メッセージがキューから受信できることを確認する。</t>
    <rPh sb="5" eb="7">
      <t>ジュシン</t>
    </rPh>
    <rPh sb="7" eb="8">
      <t>ジ</t>
    </rPh>
    <rPh sb="10" eb="12">
      <t>レイガイ</t>
    </rPh>
    <rPh sb="13" eb="15">
      <t>ハッセイ</t>
    </rPh>
    <rPh sb="18" eb="20">
      <t>バアイ</t>
    </rPh>
    <rPh sb="32" eb="34">
      <t>ジュシン</t>
    </rPh>
    <rPh sb="40" eb="42">
      <t>カクニン</t>
    </rPh>
    <phoneticPr fontId="2"/>
  </si>
  <si>
    <t>DB。JMSのトランザクションが正常に終了することを確認する。</t>
    <rPh sb="16" eb="18">
      <t>セイジョウ</t>
    </rPh>
    <rPh sb="19" eb="21">
      <t>シュウリョウ</t>
    </rPh>
    <rPh sb="26" eb="28">
      <t>カクニン</t>
    </rPh>
    <phoneticPr fontId="2"/>
  </si>
  <si>
    <t>メッセージがキューに送信されること。
送信したメッセージをキューから受信できること。
送信メッセージと受信メッセージのサイズが等しいこと</t>
    <rPh sb="35" eb="37">
      <t>ジュシン</t>
    </rPh>
    <rPh sb="45" eb="47">
      <t>ソウシン</t>
    </rPh>
    <rPh sb="53" eb="55">
      <t>ジュシン</t>
    </rPh>
    <rPh sb="65" eb="66">
      <t>ヒト</t>
    </rPh>
    <phoneticPr fontId="2"/>
  </si>
  <si>
    <t>@JmsListenerによるメッセージの非同期受信の動作を確認する。</t>
    <rPh sb="27" eb="29">
      <t>ドウサ</t>
    </rPh>
    <rPh sb="30" eb="32">
      <t>カクニン</t>
    </rPh>
    <phoneticPr fontId="2"/>
  </si>
  <si>
    <t>・JndiObjectFactoryBeanのBeanを定義し、jndiNameにコネクションファクトリのJNDI名を指定する。
・JmsTemplateをBean定義し、上記で定義したコネクションファクトリを指定する。
※キュー「jms/queue/TestQueue0102001」（JNDI名)</t>
    <rPh sb="28" eb="30">
      <t>テイギ</t>
    </rPh>
    <rPh sb="57" eb="58">
      <t>メイ</t>
    </rPh>
    <rPh sb="59" eb="61">
      <t>シテイ</t>
    </rPh>
    <phoneticPr fontId="2"/>
  </si>
  <si>
    <t>・CachingConnectionFactoryのBeanを定義し、targetConnectionFactoryにJNDI名で取得したコネクションファクトリを指定する。
※キュー「jms/queue/TestQueue0103001」（JNDI名)</t>
    <rPh sb="31" eb="33">
      <t>テイギ</t>
    </rPh>
    <rPh sb="63" eb="64">
      <t>メイ</t>
    </rPh>
    <rPh sb="65" eb="67">
      <t>シュトク</t>
    </rPh>
    <rPh sb="81" eb="83">
      <t>シテイ</t>
    </rPh>
    <phoneticPr fontId="2"/>
  </si>
  <si>
    <t>JmsTemplateをBean定義する。
※キュー「jms/queue/TestQueue0302001」（JNDI名)</t>
    <rPh sb="16" eb="18">
      <t>テイギ</t>
    </rPh>
    <phoneticPr fontId="2"/>
  </si>
  <si>
    <t>JmsTemplateをBean定義する。
※キュー「jms/queue/TestQueue0301001」（JNDI名)</t>
    <rPh sb="16" eb="18">
      <t>テイギ</t>
    </rPh>
    <phoneticPr fontId="2"/>
  </si>
  <si>
    <t>JmsMessagingTemplateをBean定義する。
SpringのMessageにヘッダキーを追加する。
※キュー「jms/queue/TestQueue0301003」（JNDI名)</t>
    <rPh sb="53" eb="55">
      <t>ツイカ</t>
    </rPh>
    <phoneticPr fontId="2"/>
  </si>
  <si>
    <t>ChainedTransactionManagerにJMS、DBの順に各TransactionManagerを定義する。
DB、JMSのコミットは成功させる。
※キュー「jms/queue/TestQueue0604001」（JNDI名)</t>
    <rPh sb="33" eb="34">
      <t>ジュン</t>
    </rPh>
    <rPh sb="35" eb="36">
      <t>カク</t>
    </rPh>
    <rPh sb="55" eb="57">
      <t>テイギ</t>
    </rPh>
    <rPh sb="74" eb="76">
      <t>セイコウ</t>
    </rPh>
    <phoneticPr fontId="2"/>
  </si>
  <si>
    <t>ChainedTransactionManagerにJMS、DBの順に各TransactionManagerを定義する。
DBのコミットは完了し、JMSのコミットは失敗させる。
※キュー「jms/queue/TestQueue0604002」（JNDI名)</t>
    <rPh sb="33" eb="34">
      <t>ジュン</t>
    </rPh>
    <rPh sb="35" eb="36">
      <t>カク</t>
    </rPh>
    <rPh sb="55" eb="57">
      <t>テイギ</t>
    </rPh>
    <rPh sb="70" eb="72">
      <t>カンリョウ</t>
    </rPh>
    <rPh sb="83" eb="85">
      <t>シッパイ</t>
    </rPh>
    <phoneticPr fontId="2"/>
  </si>
  <si>
    <t>JmsTransactionManagerをBean定義する。
@Transactional("jmsTransactionManager")を定義する。
※キュー「jms/queue/TestQueue0601001」（JNDI名)</t>
    <rPh sb="26" eb="28">
      <t>テイギ</t>
    </rPh>
    <rPh sb="73" eb="75">
      <t>テイギ</t>
    </rPh>
    <phoneticPr fontId="2"/>
  </si>
  <si>
    <t>JmsTransactionManagerをBean定義する。
@Transactional("jmsTransactionManager")を定義する。
送信時に例外を発生させる。
※キュー「jms/queue/TestQueue0601002」（JNDI名)</t>
    <rPh sb="26" eb="28">
      <t>テイギ</t>
    </rPh>
    <rPh sb="73" eb="75">
      <t>テイギ</t>
    </rPh>
    <rPh sb="80" eb="82">
      <t>ソウシン</t>
    </rPh>
    <rPh sb="82" eb="83">
      <t>ジ</t>
    </rPh>
    <rPh sb="84" eb="86">
      <t>レイガイ</t>
    </rPh>
    <rPh sb="87" eb="89">
      <t>ハッセイ</t>
    </rPh>
    <phoneticPr fontId="2"/>
  </si>
  <si>
    <t>JmsTransactionManagerをBean定義する。
@Transactional("jmsTransactionManager")を試験クラスに定義する。
※キュー「jms/queue/TestQueue0602001」（JNDI名)</t>
    <rPh sb="26" eb="28">
      <t>テイギ</t>
    </rPh>
    <rPh sb="73" eb="75">
      <t>シケン</t>
    </rPh>
    <rPh sb="79" eb="81">
      <t>テイギ</t>
    </rPh>
    <phoneticPr fontId="2"/>
  </si>
  <si>
    <t>JmsTransactionManagerをBean定義する。
@Transactional("jmsTransactionManager")を試験クラスに定義する。
受信時に例外を発生させる。
※キュー「jms/queue/TestQueue0602002」（JNDI名)</t>
    <rPh sb="26" eb="28">
      <t>テイギ</t>
    </rPh>
    <rPh sb="73" eb="75">
      <t>シケン</t>
    </rPh>
    <rPh sb="79" eb="81">
      <t>テイギ</t>
    </rPh>
    <rPh sb="86" eb="88">
      <t>ジュシン</t>
    </rPh>
    <rPh sb="88" eb="89">
      <t>ジ</t>
    </rPh>
    <rPh sb="90" eb="92">
      <t>レイガイ</t>
    </rPh>
    <rPh sb="93" eb="95">
      <t>ハッセイ</t>
    </rPh>
    <phoneticPr fontId="2"/>
  </si>
  <si>
    <t>TodoクラスのBean Validationのアノテーションを設定する。（バリデーションエラーにならないデータを設定）
非同期受信クラスに@Validアノテーションを設定する。
※キュー「jms/queue/TestQueue0701001」（JNDI名)</t>
    <rPh sb="32" eb="34">
      <t>セッテイ</t>
    </rPh>
    <rPh sb="57" eb="59">
      <t>セッテイ</t>
    </rPh>
    <rPh sb="62" eb="65">
      <t>ヒドウキ</t>
    </rPh>
    <rPh sb="65" eb="67">
      <t>ジュシン</t>
    </rPh>
    <rPh sb="85" eb="87">
      <t>セッテイ</t>
    </rPh>
    <phoneticPr fontId="2"/>
  </si>
  <si>
    <t>ActiveMQのコネクションファクトリを指定したJmsTemplateをBean定義する。
※キュー「jms/queue/TestQueue0901001」（JNDI名)</t>
    <rPh sb="21" eb="23">
      <t>シテイ</t>
    </rPh>
    <rPh sb="41" eb="43">
      <t>テイギ</t>
    </rPh>
    <phoneticPr fontId="2"/>
  </si>
  <si>
    <t>DynamicDestinationResolverをBean定義する。
JmsMessagingTemplateをBean定義する。
　※JmstemplateにはDynamicDestinationResolveのBeanIDを指定
※キュー「TestQueue0101001」（物理名)</t>
    <rPh sb="31" eb="33">
      <t>テイギ</t>
    </rPh>
    <rPh sb="117" eb="119">
      <t>シテイ</t>
    </rPh>
    <phoneticPr fontId="2"/>
  </si>
  <si>
    <t>JndiDestinationResolverをBean定義する。
JmsMessagingTemplateをBean定義する。
　※JmsTemplateにはJndiDestinationResolverのBeanIDを指定
※キュー「jms/queue/TestQueue0102001」（JNDI名)</t>
    <rPh sb="28" eb="30">
      <t>テイギ</t>
    </rPh>
    <rPh sb="112" eb="114">
      <t>シテイ</t>
    </rPh>
    <phoneticPr fontId="2"/>
  </si>
  <si>
    <t xml:space="preserve">JmsMessagingTemplateをBean定義する。
※キュー「jms/queue/TestQueue0103001」（JNDI名)
</t>
    <phoneticPr fontId="2"/>
  </si>
  <si>
    <t>JmsMessagingTemplateをBean定義する。
※キュー「jms/topic/TestTopic0301004」（JNDI名)</t>
    <phoneticPr fontId="2"/>
  </si>
  <si>
    <t>&lt;jms:annotation-driven&gt;を定義する。
'@JmsListenerを付与した非同期受信用メソッドを定義する。
※キュー「jms/queue/TestQueue0103001」（JNDI名)</t>
    <rPh sb="24" eb="26">
      <t>テイギ</t>
    </rPh>
    <rPh sb="45" eb="47">
      <t>フヨ</t>
    </rPh>
    <rPh sb="49" eb="52">
      <t>ヒドウキ</t>
    </rPh>
    <rPh sb="52" eb="55">
      <t>ジュシンヨウ</t>
    </rPh>
    <rPh sb="60" eb="62">
      <t>テイギ</t>
    </rPh>
    <phoneticPr fontId="2"/>
  </si>
  <si>
    <t>&lt;jms:annotation-driven&gt;を定義する。
'@SendToの属性にメッセージの送信先（Destination）を定義した非同期受信用メソッドを定義する。
※キュー1「jms/queue/TestQueue0402001A」（JNDI名)
※キュー2「TestQueue0402001B」（物理名)</t>
    <rPh sb="40" eb="42">
      <t>ゾクセイ</t>
    </rPh>
    <rPh sb="49" eb="51">
      <t>ソウシン</t>
    </rPh>
    <rPh sb="51" eb="52">
      <t>サキ</t>
    </rPh>
    <rPh sb="66" eb="68">
      <t>テイギ</t>
    </rPh>
    <rPh sb="70" eb="73">
      <t>ヒドウキ</t>
    </rPh>
    <rPh sb="73" eb="76">
      <t>ジュシンヨウ</t>
    </rPh>
    <rPh sb="81" eb="83">
      <t>テイギ</t>
    </rPh>
    <rPh sb="155" eb="157">
      <t>ブツリ</t>
    </rPh>
    <phoneticPr fontId="2"/>
  </si>
  <si>
    <t>JmsMessagingTemplateをBean定義する。
※キュー「jms/queue/TestQueue0501001」（JNDI名)</t>
    <phoneticPr fontId="2"/>
  </si>
  <si>
    <t>JmsMessagingTemplateのconvertAndSendメソッドにより、descriptionがnullのTodoオブジェクトを送信する。</t>
    <phoneticPr fontId="2"/>
  </si>
  <si>
    <t>TodoクラスのBean Validationのアノテーションを設定する。（descriptionに@Nullアノテーションを指定）
非同期受信クラスに@Validアノテーションを設定する。
※キュー「jms/queue/TestQueue0701002」（JNDI名)</t>
    <rPh sb="32" eb="34">
      <t>セッテイ</t>
    </rPh>
    <rPh sb="63" eb="65">
      <t>シテイ</t>
    </rPh>
    <rPh sb="68" eb="71">
      <t>ヒドウキ</t>
    </rPh>
    <rPh sb="71" eb="73">
      <t>ジュシン</t>
    </rPh>
    <rPh sb="91" eb="93">
      <t>セッテイ</t>
    </rPh>
    <phoneticPr fontId="2"/>
  </si>
  <si>
    <t>TodoクラスのBean Validationのアノテーションを設定する。（descriptionに@Nullアノテーションを指定）
listener-containerのerror-handler属性にエラーハンドリングクラスを定義する。
※キュー「jms/queue/TestQueue0802001」（JNDI名)</t>
    <rPh sb="100" eb="102">
      <t>ゾクセイ</t>
    </rPh>
    <rPh sb="116" eb="118">
      <t>テイギ</t>
    </rPh>
    <phoneticPr fontId="2"/>
  </si>
  <si>
    <t>JmsMessagingTemplateのconvertAndSendメソッドにより、descriptionに"description"が格納されたTodoオブジェクトを送信する。</t>
    <rPh sb="69" eb="71">
      <t>カクノウ</t>
    </rPh>
    <phoneticPr fontId="2"/>
  </si>
  <si>
    <t>メッセージがキューに送信されること。
入力チェックエラーが発生し、ログに「Validation Error!」と出力されていること。</t>
    <rPh sb="20" eb="22">
      <t>ニュウリョク</t>
    </rPh>
    <rPh sb="30" eb="32">
      <t>ハッセイ</t>
    </rPh>
    <rPh sb="57" eb="59">
      <t>シュツリョク</t>
    </rPh>
    <phoneticPr fontId="2"/>
  </si>
  <si>
    <t>Todoオブジェクトの属性(finished)がtrueの場合はキュー2に、falseの場合はキュー3に送信するようにJmsResponse.forQueueの送信先（Destination）を設定する。
※キュー1「jms/queue/TestQueue0403001A」（JNDI名)
※キュー2「TestQueue0403001B」（物理名)
※キュー3「TestQueue0403001C」（物理名)</t>
    <rPh sb="11" eb="13">
      <t>ゾクセイ</t>
    </rPh>
    <rPh sb="29" eb="31">
      <t>バアイ</t>
    </rPh>
    <rPh sb="52" eb="54">
      <t>ソウシン</t>
    </rPh>
    <rPh sb="80" eb="82">
      <t>ソウシン</t>
    </rPh>
    <rPh sb="82" eb="83">
      <t>サキ</t>
    </rPh>
    <rPh sb="97" eb="99">
      <t>セッテイ</t>
    </rPh>
    <phoneticPr fontId="2"/>
  </si>
  <si>
    <t>Todoオブジェクトの属性(finished)がtrueのメッセージをキュー1に送信する。</t>
    <rPh sb="40" eb="42">
      <t>ソウシン</t>
    </rPh>
    <phoneticPr fontId="2"/>
  </si>
  <si>
    <t>Todoオブジェクトの属性(finished)がfalseのメッセージをキュー1に送信する。</t>
    <rPh sb="41" eb="43">
      <t>ソウシン</t>
    </rPh>
    <phoneticPr fontId="2"/>
  </si>
  <si>
    <t>正常</t>
    <phoneticPr fontId="2"/>
  </si>
  <si>
    <t>BeanValidationによる入力チェックの動作を確認する。</t>
    <phoneticPr fontId="2"/>
  </si>
  <si>
    <t>TodoクラスのBean Validationのアノテーションを設定する。（descriptionに@Nullアノテーションを指定）
非同期受信クラスが呼び出すサービスクラスのメソッドに@Validアノテーションを設定する。
※キュー「jms/queue/TestQueue0701003」（JNDI名)</t>
    <rPh sb="32" eb="34">
      <t>セッテイ</t>
    </rPh>
    <rPh sb="63" eb="65">
      <t>シテイ</t>
    </rPh>
    <rPh sb="68" eb="71">
      <t>ヒドウキ</t>
    </rPh>
    <rPh sb="71" eb="73">
      <t>ジュシン</t>
    </rPh>
    <rPh sb="77" eb="78">
      <t>ヨ</t>
    </rPh>
    <rPh sb="79" eb="80">
      <t>ダ</t>
    </rPh>
    <rPh sb="108" eb="110">
      <t>セッテイ</t>
    </rPh>
    <phoneticPr fontId="2"/>
  </si>
  <si>
    <t>JmsMessagingTemplateのconvertAndSendメソッドにより、descriptionがnullのTodoオブジェクトを送信する。</t>
    <phoneticPr fontId="2"/>
  </si>
  <si>
    <t>TodoクラスのBean Validationのアノテーションを設定する。（descriptionに@Nullアノテーションを指定）
非同期受信クラスが呼び出すサービスクラスに@Validアノテーションを設定する。
※キュー「jms/queue/TestQueue0701004」（JNDI名)</t>
    <rPh sb="32" eb="34">
      <t>セッテイ</t>
    </rPh>
    <rPh sb="63" eb="65">
      <t>シテイ</t>
    </rPh>
    <rPh sb="68" eb="71">
      <t>ヒドウキ</t>
    </rPh>
    <rPh sb="71" eb="73">
      <t>ジュシン</t>
    </rPh>
    <rPh sb="77" eb="78">
      <t>ヨ</t>
    </rPh>
    <rPh sb="79" eb="80">
      <t>ダ</t>
    </rPh>
    <rPh sb="103" eb="105">
      <t>セッテイ</t>
    </rPh>
    <phoneticPr fontId="2"/>
  </si>
  <si>
    <t xml:space="preserve">BeanValidationによる入力チェックの動作を確認する。
</t>
    <phoneticPr fontId="2"/>
  </si>
  <si>
    <t>メッセージがキューに送信されること。
送信したメッセージをキューから非同期受信できること。
受信したメッセージの内容が送信したメッセージと一致すること。
Validationに違反するbeanが与えられた場合に，ConstraintValidationが生じ，メソッドが呼び出されない。</t>
    <rPh sb="46" eb="48">
      <t>ジュシン</t>
    </rPh>
    <rPh sb="56" eb="58">
      <t>ナイヨウ</t>
    </rPh>
    <rPh sb="59" eb="61">
      <t>ソウシン</t>
    </rPh>
    <rPh sb="69" eb="71">
      <t>イッチ</t>
    </rPh>
    <phoneticPr fontId="2"/>
  </si>
  <si>
    <t>メッセージがキューに送信されること。
送信したメッセージをキューから非同期受信できること。
受信したメッセージの内容が送信したメッセージと一致すること。
Validationをパスするbeanが与えられた場合に，ConstraintValidationが生じずにメソッドが呼び出される。</t>
    <rPh sb="10" eb="12">
      <t>ソウシン</t>
    </rPh>
    <rPh sb="34" eb="37">
      <t>ヒドウキ</t>
    </rPh>
    <rPh sb="37" eb="39">
      <t>ジュシン</t>
    </rPh>
    <phoneticPr fontId="2"/>
  </si>
  <si>
    <t>TodoクラスのBean Validationのアノテーションを設定する。（descriptionに@Nullアノテーションを指定）
非同期受信クラスが呼び出すサービスクラスに@Validアノテーションを設定する。
※キュー「jms/queue/TestQueue0701005」（JNDI名)</t>
    <rPh sb="32" eb="34">
      <t>セッテイ</t>
    </rPh>
    <rPh sb="63" eb="65">
      <t>シテイ</t>
    </rPh>
    <rPh sb="68" eb="71">
      <t>ヒドウキ</t>
    </rPh>
    <rPh sb="71" eb="73">
      <t>ジュシン</t>
    </rPh>
    <rPh sb="77" eb="78">
      <t>ヨ</t>
    </rPh>
    <rPh sb="79" eb="80">
      <t>ダ</t>
    </rPh>
    <rPh sb="103" eb="105">
      <t>セッテイ</t>
    </rPh>
    <phoneticPr fontId="2"/>
  </si>
  <si>
    <t>メッセージがキューに送信されること。
送信したメッセージをキューから非同期受信できること。
受信したメッセージの内容が送信したメッセージと一致すること。
Validationに違反するbeanが与えられた場合に，ConstraintValidationに含まれるエラー原因のメッセージを取得できる。</t>
    <rPh sb="127" eb="128">
      <t>フク</t>
    </rPh>
    <rPh sb="134" eb="136">
      <t>ゲンイン</t>
    </rPh>
    <rPh sb="143" eb="145">
      <t>シュトク</t>
    </rPh>
    <phoneticPr fontId="2"/>
  </si>
  <si>
    <t>メッセージがキューに送信されること。
送信したメッセージをキューから非同期受信できること。
受信したメッセージの内容が送信したメッセージと一致すること。
入力チェック例外が生じても，JMSのトランザクションがロールバックされない。</t>
    <rPh sb="77" eb="79">
      <t>ニュウリョク</t>
    </rPh>
    <rPh sb="83" eb="85">
      <t>レイガイ</t>
    </rPh>
    <rPh sb="86" eb="87">
      <t>ショウ</t>
    </rPh>
    <phoneticPr fontId="2"/>
  </si>
  <si>
    <t>TodoクラスのBean Validationのアノテーションを設定する。（descriptionに@Nullアノテーションを指定）
非同期受信クラスに@Validアノテーションを設定する。
※キュー「jms/queue/TestQueue0701006」（JNDI名)
非同期受信クラスのコールバックメソッドがJMSのトランザクション下で実行される。
コールバックメソッドの呼び出し中にDBのトランザクション処理が生じない。</t>
    <rPh sb="32" eb="34">
      <t>セッテイ</t>
    </rPh>
    <rPh sb="63" eb="65">
      <t>シテイ</t>
    </rPh>
    <rPh sb="68" eb="71">
      <t>ヒドウキ</t>
    </rPh>
    <rPh sb="71" eb="73">
      <t>ジュシン</t>
    </rPh>
    <rPh sb="91" eb="93">
      <t>セッテイ</t>
    </rPh>
    <rPh sb="138" eb="141">
      <t>ヒドウキ</t>
    </rPh>
    <rPh sb="141" eb="143">
      <t>ジュシン</t>
    </rPh>
    <rPh sb="170" eb="171">
      <t>カ</t>
    </rPh>
    <rPh sb="172" eb="174">
      <t>ジッコウ</t>
    </rPh>
    <rPh sb="190" eb="191">
      <t>ヨ</t>
    </rPh>
    <rPh sb="192" eb="193">
      <t>ダ</t>
    </rPh>
    <rPh sb="194" eb="195">
      <t>ナカ</t>
    </rPh>
    <rPh sb="207" eb="209">
      <t>ショリ</t>
    </rPh>
    <rPh sb="210" eb="211">
      <t>ショウ</t>
    </rPh>
    <phoneticPr fontId="2"/>
  </si>
  <si>
    <t>Concurrentの設定によるマルチスレッドの動作を確認する。</t>
    <rPh sb="11" eb="13">
      <t>セッテイ</t>
    </rPh>
    <rPh sb="24" eb="26">
      <t>ドウサ</t>
    </rPh>
    <rPh sb="27" eb="29">
      <t>カクニン</t>
    </rPh>
    <phoneticPr fontId="2"/>
  </si>
  <si>
    <t>1つのスレッドのみで処理が実行されていること。</t>
    <rPh sb="10" eb="12">
      <t>ショリ</t>
    </rPh>
    <rPh sb="13" eb="15">
      <t>ジッコウ</t>
    </rPh>
    <phoneticPr fontId="2"/>
  </si>
  <si>
    <t>JmsMessagingTemplateのconvertAndSendメソッドにより、TodoオブジェクトをQueueに5回送信する。</t>
    <phoneticPr fontId="2"/>
  </si>
  <si>
    <t>JMSListenerContainerの設定で
concurrency="1"
を設定する。
※キュー「jms/queue/TestQueue0404001」（JNDI名)</t>
    <rPh sb="21" eb="23">
      <t>セッテイ</t>
    </rPh>
    <rPh sb="42" eb="44">
      <t>セッテイ</t>
    </rPh>
    <phoneticPr fontId="2"/>
  </si>
  <si>
    <t>JMSListenerContainerの設定で
concurrency="5-10"
を設定する。
※キュー「jms/queue/TestQueue0404002」（JNDI名)</t>
    <phoneticPr fontId="2"/>
  </si>
  <si>
    <t>複数スレッドで処理が実行されていること。</t>
    <rPh sb="0" eb="2">
      <t>フクスウ</t>
    </rPh>
    <phoneticPr fontId="2"/>
  </si>
  <si>
    <t>TodoクラスにBean Validationのアノテーションを設定する。（descriptionに@Nullアノテーションを指定）
@JmsListenerのcontainerFactory属性にJmsTransactionManagerが設定されたContainerFactoryを設定する。
非同期受信処理で実行されるServiceクラスでMethodValidationを実行する。
Servceのメソッドには、DataSourceTrancationManagerを設定した@Transactionalを設定する。
※キュー「jms/queue/TestQueue0701007」（JNDI名)
非同期受信クラスのコールバックメソッドがJMSのトランザクション下で実行される。
コールバックメソッドの呼び出し中にDBのトランザクション処理が生じる。</t>
    <rPh sb="32" eb="34">
      <t>セッテイ</t>
    </rPh>
    <rPh sb="63" eb="65">
      <t>シテイ</t>
    </rPh>
    <rPh sb="151" eb="154">
      <t>ヒドウキ</t>
    </rPh>
    <rPh sb="154" eb="156">
      <t>ジュシン</t>
    </rPh>
    <rPh sb="156" eb="158">
      <t>ショリ</t>
    </rPh>
    <rPh sb="159" eb="161">
      <t>ジッコウ</t>
    </rPh>
    <rPh sb="192" eb="194">
      <t>ジッコウ</t>
    </rPh>
    <rPh sb="240" eb="242">
      <t>セッテイ</t>
    </rPh>
    <rPh sb="259" eb="261">
      <t>セッテイ</t>
    </rPh>
    <rPh sb="306" eb="309">
      <t>ヒドウキ</t>
    </rPh>
    <rPh sb="309" eb="311">
      <t>ジュシン</t>
    </rPh>
    <rPh sb="338" eb="339">
      <t>カ</t>
    </rPh>
    <rPh sb="340" eb="342">
      <t>ジッコウ</t>
    </rPh>
    <rPh sb="358" eb="359">
      <t>ヨ</t>
    </rPh>
    <rPh sb="360" eb="361">
      <t>ダ</t>
    </rPh>
    <rPh sb="362" eb="363">
      <t>ナカ</t>
    </rPh>
    <rPh sb="375" eb="377">
      <t>ショリ</t>
    </rPh>
    <rPh sb="378" eb="379">
      <t>ショウ</t>
    </rPh>
    <phoneticPr fontId="2"/>
  </si>
  <si>
    <t>DBのトランザクション中に入力チェック例外が発生し，JMSのトランザクションの中かつDBのトランザクションの外で当該例外をキャッチした場合に，DBがロールバックされ，JMSはロールバックされない。</t>
    <rPh sb="11" eb="12">
      <t>チュウ</t>
    </rPh>
    <rPh sb="13" eb="15">
      <t>ニュウリョク</t>
    </rPh>
    <rPh sb="19" eb="21">
      <t>レイガイ</t>
    </rPh>
    <rPh sb="22" eb="24">
      <t>ハッセイ</t>
    </rPh>
    <rPh sb="39" eb="40">
      <t>ナカ</t>
    </rPh>
    <rPh sb="54" eb="55">
      <t>ソト</t>
    </rPh>
    <rPh sb="56" eb="58">
      <t>トウガイ</t>
    </rPh>
    <rPh sb="58" eb="60">
      <t>レイガイ</t>
    </rPh>
    <rPh sb="67" eb="69">
      <t>バアイ</t>
    </rPh>
    <phoneticPr fontId="2"/>
  </si>
  <si>
    <t>DBのトランザクション後に入力チェック例外が発生し，JMSのトランザクションの中で当該例外をキャッチした場合に，JMS、DBがロールバックされないこと。</t>
    <rPh sb="11" eb="12">
      <t>ゴ</t>
    </rPh>
    <rPh sb="13" eb="15">
      <t>ニュウリョク</t>
    </rPh>
    <rPh sb="19" eb="21">
      <t>レイガイ</t>
    </rPh>
    <rPh sb="22" eb="24">
      <t>ハッセイ</t>
    </rPh>
    <rPh sb="39" eb="40">
      <t>ナカ</t>
    </rPh>
    <rPh sb="41" eb="43">
      <t>トウガイ</t>
    </rPh>
    <rPh sb="43" eb="45">
      <t>レイガイ</t>
    </rPh>
    <rPh sb="52" eb="54">
      <t>バアイ</t>
    </rPh>
    <phoneticPr fontId="2"/>
  </si>
  <si>
    <t>TodoクラスにBean Validationのアノテーションを設定する。（descriptionに@Nullアノテーションを指定）
@JmsListenerのcontainerFactory属性にJmsTransactionManagerが設定されたContainerFactoryを設定する。
非同期受信処理で実行されるServiceクラスでMethodValidationを実行する。
Servceのメソッドには、DataSourceTrancationManagerを設定した@Transactionalを設定する。
※キュー「jms/queue/TestQueue0701008」（JNDI名)
非同期受信クラスのコールバックメソッドがJMSのトランザクション下で実行される。
コールバックメソッドの呼び出し中にDBのトランザクション処理が生じる。</t>
    <rPh sb="32" eb="34">
      <t>セッテイ</t>
    </rPh>
    <rPh sb="63" eb="65">
      <t>シテイ</t>
    </rPh>
    <rPh sb="151" eb="154">
      <t>ヒドウキ</t>
    </rPh>
    <rPh sb="154" eb="156">
      <t>ジュシン</t>
    </rPh>
    <rPh sb="156" eb="158">
      <t>ショリ</t>
    </rPh>
    <rPh sb="159" eb="161">
      <t>ジッコウ</t>
    </rPh>
    <rPh sb="192" eb="194">
      <t>ジッコウ</t>
    </rPh>
    <rPh sb="306" eb="309">
      <t>ヒドウキ</t>
    </rPh>
    <rPh sb="309" eb="311">
      <t>ジュシン</t>
    </rPh>
    <rPh sb="338" eb="339">
      <t>カ</t>
    </rPh>
    <rPh sb="340" eb="342">
      <t>ジッコウ</t>
    </rPh>
    <rPh sb="358" eb="359">
      <t>ヨ</t>
    </rPh>
    <rPh sb="360" eb="361">
      <t>ダ</t>
    </rPh>
    <rPh sb="362" eb="363">
      <t>ナカ</t>
    </rPh>
    <rPh sb="375" eb="377">
      <t>ショリ</t>
    </rPh>
    <rPh sb="378" eb="379">
      <t>ショウ</t>
    </rPh>
    <phoneticPr fontId="2"/>
  </si>
  <si>
    <t>Concurrencyの設定によるマルチスレッドの動作を確認する。</t>
    <phoneticPr fontId="2"/>
  </si>
  <si>
    <t>Concurrencyの設定によるマルチスレッドの動作を確認する。</t>
    <rPh sb="12" eb="14">
      <t>セッテイ</t>
    </rPh>
    <rPh sb="25" eb="27">
      <t>ドウサ</t>
    </rPh>
    <rPh sb="28" eb="30">
      <t>カクニン</t>
    </rPh>
    <phoneticPr fontId="2"/>
  </si>
  <si>
    <t>受信したメッセージのReplyTo属性(ヘッダ)から取得したDestinationに対してメッセージを送信する。</t>
    <rPh sb="0" eb="2">
      <t>ジュシン</t>
    </rPh>
    <rPh sb="17" eb="19">
      <t>ゾクセイ</t>
    </rPh>
    <rPh sb="26" eb="28">
      <t>シュトク</t>
    </rPh>
    <rPh sb="41" eb="42">
      <t>タイ</t>
    </rPh>
    <rPh sb="50" eb="52">
      <t>ソウシン</t>
    </rPh>
    <phoneticPr fontId="2"/>
  </si>
  <si>
    <t>Todoオブジェクトの属性(finished)がtrueの場合はキュー2に、falseの場合はキュー3に送信するようにJmsResponse.forQueueの送信先（Destination名）を設定する。
※キュー1「jms/queue/TestQueue0403001A」（JNDI名)
※キュー2「TestQueue0403001B」（物理名)
※キュー3「TestQueue0403001C」（物理名)</t>
    <rPh sb="11" eb="13">
      <t>ゾクセイ</t>
    </rPh>
    <rPh sb="29" eb="31">
      <t>バアイ</t>
    </rPh>
    <rPh sb="52" eb="54">
      <t>ソウシン</t>
    </rPh>
    <rPh sb="80" eb="82">
      <t>ソウシン</t>
    </rPh>
    <rPh sb="82" eb="83">
      <t>サキ</t>
    </rPh>
    <rPh sb="95" eb="96">
      <t>メイ</t>
    </rPh>
    <rPh sb="98" eb="100">
      <t>セッテイ</t>
    </rPh>
    <phoneticPr fontId="2"/>
  </si>
  <si>
    <t>ReplyTo属性に送信先(TestQueue0403003B)を設定したメッセージを送信する。</t>
    <rPh sb="43" eb="45">
      <t>ソウシン</t>
    </rPh>
    <phoneticPr fontId="2"/>
  </si>
  <si>
    <t>JmsResponseにより、メッセージが送信できることを確認する。</t>
    <rPh sb="21" eb="23">
      <t>ソウシン</t>
    </rPh>
    <rPh sb="29" eb="31">
      <t>カクニン</t>
    </rPh>
    <phoneticPr fontId="2"/>
  </si>
  <si>
    <t>ReplyTo属性に送信先(Destination)を設定する。
受信の処理では、JmsResponse.forDestinationにメッセージヘッダのReplyTo属性の値を指定する。
※キュー1「jms/queue/TestQueue0403003A」（JNDI名)
※キュー2「TestQueue0403003B」（物理名)</t>
    <rPh sb="7" eb="9">
      <t>ゾクセイ</t>
    </rPh>
    <rPh sb="10" eb="12">
      <t>ソウシン</t>
    </rPh>
    <rPh sb="12" eb="13">
      <t>サキ</t>
    </rPh>
    <rPh sb="27" eb="29">
      <t>セッテイ</t>
    </rPh>
    <rPh sb="34" eb="36">
      <t>ジュシン</t>
    </rPh>
    <rPh sb="37" eb="39">
      <t>ショリ</t>
    </rPh>
    <rPh sb="85" eb="87">
      <t>ゾクセイ</t>
    </rPh>
    <rPh sb="88" eb="89">
      <t>アタイ</t>
    </rPh>
    <rPh sb="90" eb="92">
      <t>シテイ</t>
    </rPh>
    <phoneticPr fontId="2"/>
  </si>
  <si>
    <t>送信時のJMSとDBの両方使用したときのトランザクション管理について動作を確認する。</t>
    <rPh sb="0" eb="2">
      <t>ソウシン</t>
    </rPh>
    <rPh sb="2" eb="3">
      <t>ジ</t>
    </rPh>
    <phoneticPr fontId="2"/>
  </si>
  <si>
    <t>DB、JMSのトランザクションがロールバックされることを確認する。</t>
    <rPh sb="28" eb="30">
      <t>カクニン</t>
    </rPh>
    <phoneticPr fontId="2"/>
  </si>
  <si>
    <t>非同期受信時のJMSとDBの両方使用したときのトランザクション管理について動作を確認する。</t>
    <rPh sb="0" eb="3">
      <t>ヒドウキ</t>
    </rPh>
    <rPh sb="3" eb="5">
      <t>ジュシン</t>
    </rPh>
    <rPh sb="5" eb="6">
      <t>ジ</t>
    </rPh>
    <phoneticPr fontId="2"/>
  </si>
  <si>
    <t>メッセージがキューに送信されること。
入力チェックエラーが発生し、ログに「SystemException Error!」と出力されていること。</t>
    <rPh sb="20" eb="22">
      <t>ニュウリョク</t>
    </rPh>
    <rPh sb="30" eb="32">
      <t>ハッセイ</t>
    </rPh>
    <rPh sb="62" eb="64">
      <t>シュツリョク</t>
    </rPh>
    <phoneticPr fontId="2"/>
  </si>
  <si>
    <t>非同期受信メソッド内で例外をスローしたときのtry-catchによる例外処理が行われているか確認する。</t>
    <rPh sb="39" eb="40">
      <t>オコナ</t>
    </rPh>
    <rPh sb="46" eb="48">
      <t>カクニン</t>
    </rPh>
    <phoneticPr fontId="2"/>
  </si>
  <si>
    <t>非同期受信メソッド内で例外をスローしたときのtry-catchによる例外処理が行われているか確認する。</t>
    <phoneticPr fontId="2"/>
  </si>
  <si>
    <t>TodoクラスのBean Validationのアノテーションを設定する。（descriptionに@Nullアノテーションを指定）
listenerクラスにおいてtry-catchによる処理を記述する。
※キュー「jms/queue/TestQueue0803001」（JNDI名)</t>
    <rPh sb="95" eb="97">
      <t>ショリ</t>
    </rPh>
    <rPh sb="98" eb="100">
      <t>キジュツ</t>
    </rPh>
    <phoneticPr fontId="2"/>
  </si>
  <si>
    <t>TodoクラスのBean Validationのアノテーションを設定する。（descriptionに@Nullアノテーションを指定）
listenerクラスにおいてtry-catchによる処理を記述する。
※キュー「jms/queue/TestQueue0803001A」（JNDI名)
※キュー「jms/queue/TestQueue0803002B」</t>
    <phoneticPr fontId="2"/>
  </si>
  <si>
    <t>メッセージが別キューに送信されること。
入力チェックエラーが発生し画面に「BusinessException!」と受信メッセージの文字列が出力されていること。</t>
    <rPh sb="6" eb="7">
      <t>ベツ</t>
    </rPh>
    <rPh sb="21" eb="23">
      <t>ニュウリョク</t>
    </rPh>
    <rPh sb="31" eb="33">
      <t>ハッセイ</t>
    </rPh>
    <rPh sb="34" eb="36">
      <t>ガメン</t>
    </rPh>
    <rPh sb="58" eb="60">
      <t>ジュシン</t>
    </rPh>
    <rPh sb="66" eb="69">
      <t>モジレツ</t>
    </rPh>
    <rPh sb="70" eb="72">
      <t>シュツリョク</t>
    </rPh>
    <phoneticPr fontId="2"/>
  </si>
  <si>
    <t>メッセージヘッダ(デリバリモード、優先度、TTL)を編集して送信した際の動作を確認する。</t>
    <rPh sb="26" eb="28">
      <t>ヘンシュウ</t>
    </rPh>
    <rPh sb="30" eb="32">
      <t>ソウシン</t>
    </rPh>
    <rPh sb="34" eb="35">
      <t>サイ</t>
    </rPh>
    <rPh sb="36" eb="38">
      <t>ドウサ</t>
    </rPh>
    <rPh sb="39" eb="41">
      <t>カクニン</t>
    </rPh>
    <phoneticPr fontId="2"/>
  </si>
  <si>
    <t>JmsTemplateにデリバリモード、優先度、TTLを設定する。</t>
    <rPh sb="20" eb="23">
      <t>ユウセンド</t>
    </rPh>
    <rPh sb="28" eb="30">
      <t>セッテイ</t>
    </rPh>
    <phoneticPr fontId="2"/>
  </si>
  <si>
    <t>JmsTemplateをBean定義する。
JmsMessagingTemplataをBean定義する。
※キュー「jms/queue/TestQueue0303001」（JNDI名)</t>
    <rPh sb="16" eb="18">
      <t>テイギ</t>
    </rPh>
    <rPh sb="48" eb="50">
      <t>テイギ</t>
    </rPh>
    <phoneticPr fontId="2"/>
  </si>
  <si>
    <t>JmsTemplateをBean定義する。
JmsMessagingTemplataをBean定義する。
※キュー「jms/queue/TestQueue0303002」（JNDI名)</t>
    <rPh sb="16" eb="18">
      <t>テイギ</t>
    </rPh>
    <rPh sb="48" eb="50">
      <t>テイギ</t>
    </rPh>
    <phoneticPr fontId="2"/>
  </si>
  <si>
    <t>メッセージがキューに送信されること。
送信したメッセージをキューから受信できないこと。</t>
    <rPh sb="10" eb="12">
      <t>ソウシン</t>
    </rPh>
    <rPh sb="20" eb="22">
      <t>ソウシン</t>
    </rPh>
    <rPh sb="35" eb="37">
      <t>ジュシン</t>
    </rPh>
    <phoneticPr fontId="2"/>
  </si>
  <si>
    <t>JmsMessagingTermplateのconvertAndSendメソッドを利用して、メッセージを送信する。
メッセージ送信完了後、3000ms以上経過した後に受信を行う。
・デリバリモード：2
・優先度：1
・TTL：3000</t>
    <rPh sb="41" eb="43">
      <t>リヨウ</t>
    </rPh>
    <rPh sb="52" eb="54">
      <t>ソウシン</t>
    </rPh>
    <rPh sb="64" eb="66">
      <t>ソウシン</t>
    </rPh>
    <rPh sb="66" eb="68">
      <t>カンリョウ</t>
    </rPh>
    <rPh sb="68" eb="69">
      <t>ゴ</t>
    </rPh>
    <rPh sb="76" eb="78">
      <t>イジョウ</t>
    </rPh>
    <rPh sb="78" eb="80">
      <t>ケイカ</t>
    </rPh>
    <rPh sb="82" eb="83">
      <t>アト</t>
    </rPh>
    <rPh sb="84" eb="86">
      <t>ジュシン</t>
    </rPh>
    <rPh sb="87" eb="88">
      <t>オコナ</t>
    </rPh>
    <rPh sb="104" eb="107">
      <t>ユウセンド</t>
    </rPh>
    <phoneticPr fontId="2"/>
  </si>
  <si>
    <t>JmsMessagingTermplateのconvertAndSendメソッドを利用して、メッセージを送信する。
メッセージ送信完了後、3000ms以内に受信を行う。
・デリバリモード：2
・優先度：1
・TTL：3000</t>
    <rPh sb="41" eb="43">
      <t>リヨウ</t>
    </rPh>
    <rPh sb="52" eb="54">
      <t>ソウシン</t>
    </rPh>
    <rPh sb="64" eb="66">
      <t>ソウシン</t>
    </rPh>
    <rPh sb="66" eb="68">
      <t>カンリョウ</t>
    </rPh>
    <rPh sb="68" eb="69">
      <t>ゴ</t>
    </rPh>
    <rPh sb="76" eb="78">
      <t>イナイ</t>
    </rPh>
    <rPh sb="79" eb="81">
      <t>ジュシン</t>
    </rPh>
    <rPh sb="82" eb="83">
      <t>オコナ</t>
    </rPh>
    <rPh sb="99" eb="102">
      <t>ユウセンド</t>
    </rPh>
    <phoneticPr fontId="2"/>
  </si>
  <si>
    <t xml:space="preserve">メッセージがキューに送信されること。
送信したメッセージをキューから受信できること。
受信したメッセージの以下のヘッダキーを確認し、送信したメッセージと一致すること。
・デリバリモード：2
・優先度：1
</t>
    <rPh sb="10" eb="12">
      <t>ソウシン</t>
    </rPh>
    <rPh sb="20" eb="22">
      <t>ソウシン</t>
    </rPh>
    <rPh sb="35" eb="37">
      <t>ジュシン</t>
    </rPh>
    <rPh sb="45" eb="47">
      <t>ジュシン</t>
    </rPh>
    <rPh sb="55" eb="57">
      <t>イカ</t>
    </rPh>
    <rPh sb="64" eb="66">
      <t>カクニン</t>
    </rPh>
    <rPh sb="68" eb="70">
      <t>ソウシン</t>
    </rPh>
    <rPh sb="78" eb="80">
      <t>イッチ</t>
    </rPh>
    <phoneticPr fontId="2"/>
  </si>
  <si>
    <t>メッセージのヘッダ情報を取得できることを確認する。</t>
    <rPh sb="8" eb="10">
      <t>ジョウホウ</t>
    </rPh>
    <rPh sb="11" eb="13">
      <t>シュトク</t>
    </rPh>
    <rPh sb="19" eb="21">
      <t>カクニン</t>
    </rPh>
    <phoneticPr fontId="2"/>
  </si>
  <si>
    <t>@JmsListenerを指定したメソッドの引数に@Headerや@Headersを指定する。</t>
    <rPh sb="13" eb="15">
      <t>シテイ</t>
    </rPh>
    <rPh sb="22" eb="24">
      <t>ヒキスウ</t>
    </rPh>
    <rPh sb="42" eb="44">
      <t>シテイ</t>
    </rPh>
    <phoneticPr fontId="2"/>
  </si>
  <si>
    <t>JMSPriorityに2を設定したメッセージを送信する。</t>
    <rPh sb="14" eb="16">
      <t>セッテイ</t>
    </rPh>
    <rPh sb="24" eb="26">
      <t>ソウシン</t>
    </rPh>
    <phoneticPr fontId="2"/>
  </si>
  <si>
    <t>&lt;jms:annotation-driven&gt;を定義する。
'@JmsListenerにselector属性「TodoStatus='created'」を付与した非同期受信用メソッドを定義する。
※キュー「jms/queue/TestQueue0401002」（JNDI名)</t>
    <rPh sb="24" eb="26">
      <t>テイギ</t>
    </rPh>
    <rPh sb="53" eb="55">
      <t>ゾクセイ</t>
    </rPh>
    <rPh sb="78" eb="80">
      <t>フヨ</t>
    </rPh>
    <rPh sb="82" eb="85">
      <t>ヒドウキ</t>
    </rPh>
    <rPh sb="85" eb="88">
      <t>ジュシンヨウ</t>
    </rPh>
    <rPh sb="93" eb="95">
      <t>テイギ</t>
    </rPh>
    <phoneticPr fontId="2"/>
  </si>
  <si>
    <t>&lt;jms:annotation-driven&gt;を定義する。
'@JmsListenerにselector属性「TodoStatus='created'」を付与した非同期受信用メソッドを定義する。
※キュー「jms/queue/TestQueue0401003」（JNDI名)</t>
    <rPh sb="24" eb="26">
      <t>テイギ</t>
    </rPh>
    <rPh sb="53" eb="55">
      <t>ゾクセイ</t>
    </rPh>
    <rPh sb="78" eb="80">
      <t>フヨ</t>
    </rPh>
    <rPh sb="82" eb="85">
      <t>ヒドウキ</t>
    </rPh>
    <rPh sb="85" eb="88">
      <t>ジュシンヨウ</t>
    </rPh>
    <rPh sb="93" eb="95">
      <t>テイギ</t>
    </rPh>
    <phoneticPr fontId="2"/>
  </si>
  <si>
    <t>TodoStatusにdeletedを設定したメッセージを送信する。</t>
    <rPh sb="19" eb="21">
      <t>セッテイ</t>
    </rPh>
    <rPh sb="29" eb="31">
      <t>ソウシン</t>
    </rPh>
    <phoneticPr fontId="2"/>
  </si>
  <si>
    <t>同期受信時のトランザクション管理について動作を確認する。</t>
    <rPh sb="0" eb="2">
      <t>ドウキ</t>
    </rPh>
    <phoneticPr fontId="2"/>
  </si>
  <si>
    <t>@JmsListenerを使用したときのトランザクション管理について動作を確認する。</t>
    <rPh sb="13" eb="15">
      <t>シヨウ</t>
    </rPh>
    <rPh sb="28" eb="30">
      <t>カンリ</t>
    </rPh>
    <rPh sb="34" eb="36">
      <t>ドウサ</t>
    </rPh>
    <rPh sb="37" eb="39">
      <t>カクニン</t>
    </rPh>
    <phoneticPr fontId="2"/>
  </si>
  <si>
    <t>@JmsListenerによる非同期受信時に例外が発生しない場合、メッセージがキューから受信できることを確認する。</t>
    <rPh sb="15" eb="17">
      <t>ヒドウキ</t>
    </rPh>
    <rPh sb="17" eb="19">
      <t>ジュシン</t>
    </rPh>
    <rPh sb="20" eb="21">
      <t>ジ</t>
    </rPh>
    <rPh sb="22" eb="24">
      <t>レイガイ</t>
    </rPh>
    <phoneticPr fontId="2"/>
  </si>
  <si>
    <t>JmsTransactionManagerをBean定義する。
@Transactional("jmsTransactionManager")を試験クラスに定義する。
@JmsListenerを試験メソッドに定義する。
※キュー「jms/queue/TestQueue0603001」（JNDI名)</t>
    <rPh sb="99" eb="101">
      <t>シケン</t>
    </rPh>
    <rPh sb="106" eb="108">
      <t>テイギ</t>
    </rPh>
    <phoneticPr fontId="2"/>
  </si>
  <si>
    <t>@JmsListenerにより、Todoクラスのオブジェクトを非同期受信する。</t>
    <rPh sb="32" eb="35">
      <t>ヒドウキ</t>
    </rPh>
    <rPh sb="35" eb="37">
      <t>ジュシン</t>
    </rPh>
    <phoneticPr fontId="2"/>
  </si>
  <si>
    <t>@JmsListenerを使用したときのトランザクション管理について動作を確認する。</t>
    <phoneticPr fontId="2"/>
  </si>
  <si>
    <t>@JmsListenerによる非同期受信時に例外が発生した場合、メッセージがキューに戻されることを確認する。
（メッセージがロールバックされることを確認）</t>
    <rPh sb="15" eb="17">
      <t>ヒドウキ</t>
    </rPh>
    <rPh sb="17" eb="19">
      <t>ジュシン</t>
    </rPh>
    <rPh sb="20" eb="21">
      <t>ジ</t>
    </rPh>
    <rPh sb="22" eb="24">
      <t>レイガイ</t>
    </rPh>
    <rPh sb="42" eb="43">
      <t>モド</t>
    </rPh>
    <rPh sb="49" eb="51">
      <t>カクニン</t>
    </rPh>
    <rPh sb="74" eb="76">
      <t>カクニン</t>
    </rPh>
    <phoneticPr fontId="2"/>
  </si>
  <si>
    <t>JmsTransactionManagerをBean定義する。
@Transactional("jmsTransactionManager")を試験クラスに定義する。
@JmsListenerを試験メソッドに定義する。
受信時に例外を発生させる。
※キュー「jms/queue/TestQueue0603002」（JNDI名)</t>
    <rPh sb="99" eb="101">
      <t>シケン</t>
    </rPh>
    <rPh sb="106" eb="108">
      <t>テイギ</t>
    </rPh>
    <phoneticPr fontId="2"/>
  </si>
  <si>
    <t>メッセージがキューに戻されていること。（ロールバックされていること。）
※@JmsListenerを使用しているため、ロールバックすると再度キューからメッセージを取得しようとしてしまう。これを回避するために、一度目の受信時に一時ファイルを出力しておき、二度目の受信時に一時ファイルがあれば正常終了させることとしている。</t>
    <rPh sb="10" eb="11">
      <t>モド</t>
    </rPh>
    <rPh sb="51" eb="53">
      <t>シヨウ</t>
    </rPh>
    <rPh sb="69" eb="71">
      <t>サイド</t>
    </rPh>
    <rPh sb="82" eb="84">
      <t>シュトク</t>
    </rPh>
    <rPh sb="97" eb="99">
      <t>カイヒ</t>
    </rPh>
    <rPh sb="105" eb="108">
      <t>イチドメ</t>
    </rPh>
    <rPh sb="109" eb="111">
      <t>ジュシン</t>
    </rPh>
    <rPh sb="111" eb="112">
      <t>ジ</t>
    </rPh>
    <rPh sb="113" eb="115">
      <t>イチジ</t>
    </rPh>
    <rPh sb="120" eb="122">
      <t>シュツリョク</t>
    </rPh>
    <rPh sb="127" eb="130">
      <t>ニドメ</t>
    </rPh>
    <rPh sb="131" eb="133">
      <t>ジュシン</t>
    </rPh>
    <rPh sb="133" eb="134">
      <t>ジ</t>
    </rPh>
    <rPh sb="135" eb="137">
      <t>イチジ</t>
    </rPh>
    <rPh sb="145" eb="147">
      <t>セイジョウ</t>
    </rPh>
    <rPh sb="147" eb="149">
      <t>シュウリョウ</t>
    </rPh>
    <phoneticPr fontId="2"/>
  </si>
  <si>
    <t>JMSとDB両方使用し、前者はSpringによって、後者はDataSourceTransactionManagerによって管理されていることを確認する。</t>
    <rPh sb="5" eb="7">
      <t>リョウホウ</t>
    </rPh>
    <rPh sb="7" eb="9">
      <t>シヨウ</t>
    </rPh>
    <rPh sb="12" eb="14">
      <t>ゼンシャ</t>
    </rPh>
    <rPh sb="26" eb="28">
      <t>コウシャ</t>
    </rPh>
    <rPh sb="61" eb="63">
      <t>カンリ</t>
    </rPh>
    <rPh sb="71" eb="73">
      <t>カクニン</t>
    </rPh>
    <phoneticPr fontId="2"/>
  </si>
  <si>
    <t>DBのトランザクションがコミットされ、JMSのトランザクションがロールバックされることを確認する。</t>
    <rPh sb="44" eb="46">
      <t>カクニン</t>
    </rPh>
    <phoneticPr fontId="2"/>
  </si>
  <si>
    <t>Listener-containerを以下の通り定義する。
・acknowledge=transacted
・transaction-managerの定義なし
Serviceでは、@TransactionalにDataSourceTransactionManagerを指定する。
DB、JMSのコミットは成功させる。
※キュー「jms/queue/TestQueue0604005」（JNDI名)</t>
    <rPh sb="19" eb="21">
      <t>イカ</t>
    </rPh>
    <rPh sb="22" eb="23">
      <t>トオ</t>
    </rPh>
    <rPh sb="24" eb="26">
      <t>テイギ</t>
    </rPh>
    <rPh sb="75" eb="77">
      <t>テイギ</t>
    </rPh>
    <rPh sb="135" eb="137">
      <t>シテイ</t>
    </rPh>
    <rPh sb="154" eb="156">
      <t>セイコウ</t>
    </rPh>
    <phoneticPr fontId="2"/>
  </si>
  <si>
    <t>Listener-containerを以下の通り定義する。
・acknowledge=transacted
・transaction-managerの定義なし
Serviceでは、@TransactionalにDataSourceTransactionManagerを指定する。
DBのコミットは完了し、JMSのコミットは失敗させる。
※キュー「jms/queue/TestQueue0604006」（JNDI名)</t>
    <rPh sb="150" eb="152">
      <t>カンリョウ</t>
    </rPh>
    <rPh sb="163" eb="165">
      <t>シッパイ</t>
    </rPh>
    <phoneticPr fontId="2"/>
  </si>
  <si>
    <t>JMSS0801</t>
  </si>
  <si>
    <t>JMSS0802</t>
  </si>
  <si>
    <t>JMSS0803</t>
  </si>
  <si>
    <t>JMSS0601</t>
  </si>
  <si>
    <t>JMSS0602</t>
  </si>
  <si>
    <t>JMSS0603</t>
  </si>
  <si>
    <t>JMSS0604</t>
  </si>
  <si>
    <t>メッセージがキューに送信されること。
エラーが発生し、ログに「[e.sf.fw.8004] ResultMessages 」と出力されていること。</t>
    <rPh sb="24" eb="26">
      <t>ハッセイ</t>
    </rPh>
    <rPh sb="64" eb="66">
      <t>シュツリョク</t>
    </rPh>
    <phoneticPr fontId="2"/>
  </si>
  <si>
    <t>Selenium:○</t>
  </si>
  <si>
    <t>メッセージがキューに送信されること。
送信したメッセージをキューから受信できること。
受信したメッセージの内容が送信したメッセージと一致すること。
※jmss0101001と一緒に実施</t>
    <rPh sb="10" eb="12">
      <t>ソウシン</t>
    </rPh>
    <rPh sb="20" eb="22">
      <t>ソウシン</t>
    </rPh>
    <rPh sb="35" eb="37">
      <t>ジュシン</t>
    </rPh>
    <rPh sb="45" eb="47">
      <t>ジュシン</t>
    </rPh>
    <rPh sb="55" eb="57">
      <t>ナイヨウ</t>
    </rPh>
    <rPh sb="58" eb="60">
      <t>ソウシン</t>
    </rPh>
    <rPh sb="68" eb="70">
      <t>イッチ</t>
    </rPh>
    <rPh sb="90" eb="92">
      <t>イッショ</t>
    </rPh>
    <rPh sb="93" eb="95">
      <t>ジッシ</t>
    </rPh>
    <phoneticPr fontId="2"/>
  </si>
  <si>
    <t>メッセージがキューに送信されること。
送信したメッセージをキューから受信できること。
受信したメッセージの内容が送信したメッセージと一致すること。
※jmss0102001と一緒に実施</t>
    <rPh sb="10" eb="12">
      <t>ソウシン</t>
    </rPh>
    <rPh sb="20" eb="22">
      <t>ソウシン</t>
    </rPh>
    <rPh sb="35" eb="37">
      <t>ジュシン</t>
    </rPh>
    <rPh sb="45" eb="47">
      <t>ジュシン</t>
    </rPh>
    <rPh sb="55" eb="57">
      <t>ナイヨウ</t>
    </rPh>
    <rPh sb="58" eb="60">
      <t>ソウシン</t>
    </rPh>
    <rPh sb="68" eb="70">
      <t>イッチ</t>
    </rPh>
    <rPh sb="90" eb="92">
      <t>イッショ</t>
    </rPh>
    <rPh sb="93" eb="95">
      <t>ジッシ</t>
    </rPh>
    <phoneticPr fontId="2"/>
  </si>
  <si>
    <t>メッセージがキューに送信されること。
送信したメッセージをキューから受信できること。
受信したメッセージの内容が送信したメッセージと一致すること。
※jmss0103001と一緒に実施</t>
    <rPh sb="10" eb="12">
      <t>ソウシン</t>
    </rPh>
    <rPh sb="20" eb="22">
      <t>ソウシン</t>
    </rPh>
    <rPh sb="35" eb="37">
      <t>ジュシン</t>
    </rPh>
    <rPh sb="45" eb="47">
      <t>ジュシン</t>
    </rPh>
    <rPh sb="55" eb="57">
      <t>ナイヨウ</t>
    </rPh>
    <rPh sb="58" eb="60">
      <t>ソウシン</t>
    </rPh>
    <rPh sb="68" eb="70">
      <t>イッチ</t>
    </rPh>
    <rPh sb="90" eb="92">
      <t>イッショ</t>
    </rPh>
    <rPh sb="93" eb="95">
      <t>ジッシ</t>
    </rPh>
    <phoneticPr fontId="2"/>
  </si>
  <si>
    <t>JMSS0101</t>
    <phoneticPr fontId="2"/>
  </si>
  <si>
    <t>JMSS0102</t>
    <phoneticPr fontId="2"/>
  </si>
  <si>
    <t>JMSS0103</t>
    <phoneticPr fontId="2"/>
  </si>
  <si>
    <t>JMSS0201</t>
    <phoneticPr fontId="2"/>
  </si>
  <si>
    <t>JMSS0202</t>
    <phoneticPr fontId="2"/>
  </si>
  <si>
    <t>JMSS0301</t>
    <phoneticPr fontId="2"/>
  </si>
  <si>
    <t>JMSS0302</t>
    <phoneticPr fontId="2"/>
  </si>
  <si>
    <t>JMSS0303</t>
    <phoneticPr fontId="2"/>
  </si>
  <si>
    <t>JMSS0401</t>
    <phoneticPr fontId="2"/>
  </si>
  <si>
    <t>JMSS0402</t>
    <phoneticPr fontId="2"/>
  </si>
  <si>
    <t>JMSS0403</t>
    <phoneticPr fontId="2"/>
  </si>
  <si>
    <t>JMSS0404</t>
    <phoneticPr fontId="2"/>
  </si>
  <si>
    <t>@Headerと@Headersでヘッダ情報が取得できること。
@Headerと@Headersで取得したJMSPriorityが等しいこと。
※jmss0303001と一緒に実施</t>
    <rPh sb="20" eb="22">
      <t>ジョウホウ</t>
    </rPh>
    <rPh sb="23" eb="25">
      <t>シュトク</t>
    </rPh>
    <rPh sb="50" eb="52">
      <t>シュトク</t>
    </rPh>
    <rPh sb="66" eb="67">
      <t>ヒト</t>
    </rPh>
    <rPh sb="87" eb="89">
      <t>イッショ</t>
    </rPh>
    <rPh sb="90" eb="92">
      <t>ジッシ</t>
    </rPh>
    <phoneticPr fontId="2"/>
  </si>
  <si>
    <t>メッセージがキューに送信されること。
送信したメッセージをキューから受信できること。
受信したメッセージの内容が送信したメッセージと一致すること。
※jmss0103001と一緒に実施</t>
    <rPh sb="90" eb="92">
      <t>イッショ</t>
    </rPh>
    <rPh sb="93" eb="95">
      <t>ジッシ</t>
    </rPh>
    <phoneticPr fontId="2"/>
  </si>
  <si>
    <t>メッセージがキューに送信されること。
入力チェックエラーが発生し、ログに「Validation Error!」と出力されていること。
※jmss0701002と一緒に実施</t>
    <rPh sb="20" eb="22">
      <t>ニュウリョク</t>
    </rPh>
    <rPh sb="30" eb="32">
      <t>ハッセイ</t>
    </rPh>
    <rPh sb="57" eb="59">
      <t>シュツリョク</t>
    </rPh>
    <rPh sb="82" eb="84">
      <t>イッショ</t>
    </rPh>
    <rPh sb="85" eb="87">
      <t>ジッシ</t>
    </rPh>
    <phoneticPr fontId="2"/>
  </si>
  <si>
    <t>&lt;jms:annotation-driven&gt;を定義する。
非同期受信用のメソッドに@Header("JmsHeaders.PRIORITY")を指定した引数を定義する。
非同期受信用のメソッドに@Headersを指定した引数を定義する。
※キュー「jms/queue/TestQueue0303001」（JNDI名)</t>
    <rPh sb="24" eb="26">
      <t>テイギ</t>
    </rPh>
    <rPh sb="31" eb="34">
      <t>ヒドウキ</t>
    </rPh>
    <rPh sb="34" eb="37">
      <t>ジュシンヨウ</t>
    </rPh>
    <rPh sb="74" eb="76">
      <t>シテイ</t>
    </rPh>
    <rPh sb="78" eb="80">
      <t>ヒキスウ</t>
    </rPh>
    <rPh sb="81" eb="83">
      <t>テイギ</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</si>
</sst>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lt;=999]000;[&lt;=9999]000\-00;000\-0000"/>
    <numFmt numFmtId="177" formatCode="00"/>
  </numFmts>
  <fonts count="9" x14ac:knownFonts="1">
    <font>
      <sz val="11"/>
      <color theme="1"/>
      <name val="ＭＳ Ｐゴシック"/>
      <family val="2"/>
      <charset val="128"/>
      <scheme val="minor"/>
    </font>
    <font>
      <b/>
      <sz val="11"/>
      <name val="ＭＳ Ｐゴシック"/>
      <family val="2"/>
      <charset val="128"/>
      <scheme val="minor"/>
    </font>
    <font>
      <sz val="6"/>
      <name val="ＭＳ Ｐゴシック"/>
      <family val="2"/>
      <charset val="128"/>
      <scheme val="minor"/>
    </font>
    <font>
      <b/>
      <sz val="11"/>
      <name val="ＭＳ Ｐゴシック"/>
      <family val="3"/>
      <charset val="128"/>
      <scheme val="minor"/>
    </font>
    <font>
      <b/>
      <sz val="11"/>
      <color theme="1"/>
      <name val="ＭＳ Ｐゴシック"/>
      <family val="3"/>
      <charset val="128"/>
      <scheme val="minor"/>
    </font>
    <font>
      <u/>
      <sz val="11"/>
      <color theme="10"/>
      <name val="ＭＳ Ｐゴシック"/>
      <family val="3"/>
      <charset val="128"/>
    </font>
    <font>
      <sz val="11"/>
      <name val="ＭＳ Ｐゴシック"/>
      <family val="3"/>
      <charset val="128"/>
    </font>
    <font>
      <b/>
      <sz val="11"/>
      <name val="ＭＳ Ｐゴシック"/>
      <family val="3"/>
      <charset val="128"/>
    </font>
    <font>
      <sz val="6"/>
      <name val="ＭＳ Ｐ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FFFF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3">
    <xf numFmtId="0" fontId="0" fillId="0" borderId="0">
      <alignment vertical="center"/>
    </xf>
    <xf numFmtId="0" fontId="5" fillId="0" borderId="0" applyNumberFormat="0" applyFill="0" applyBorder="0" applyAlignment="0" applyProtection="0">
      <alignment vertical="top"/>
      <protection locked="0"/>
    </xf>
    <xf numFmtId="0" fontId="6" fillId="0" borderId="0">
      <alignment vertical="center"/>
    </xf>
  </cellStyleXfs>
  <cellXfs count="46">
    <xf numFmtId="0" fontId="0" fillId="0" borderId="0" xfId="0">
      <alignment vertical="center"/>
    </xf>
    <xf numFmtId="0" fontId="1" fillId="2" borderId="1" xfId="0" applyFont="1" applyFill="1" applyBorder="1" applyAlignment="1">
      <alignment horizontal="center" vertical="center"/>
    </xf>
    <xf numFmtId="0" fontId="0" fillId="0" borderId="1" xfId="0" applyBorder="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applyAlignment="1">
      <alignment horizontal="left" vertical="top" wrapText="1"/>
    </xf>
    <xf numFmtId="0" fontId="7" fillId="3" borderId="1" xfId="2" applyFont="1" applyFill="1" applyBorder="1" applyAlignment="1">
      <alignment horizontal="center" vertical="center"/>
    </xf>
    <xf numFmtId="0" fontId="7" fillId="3" borderId="1" xfId="2" applyFont="1" applyFill="1" applyBorder="1" applyAlignment="1">
      <alignment horizontal="center" vertical="center" wrapText="1"/>
    </xf>
    <xf numFmtId="0" fontId="6" fillId="0" borderId="1" xfId="2" applyBorder="1" applyAlignment="1">
      <alignment horizontal="center" vertical="center"/>
    </xf>
    <xf numFmtId="14" fontId="6" fillId="0" borderId="1" xfId="2" applyNumberFormat="1" applyBorder="1" applyAlignment="1">
      <alignment horizontal="center" vertical="center"/>
    </xf>
    <xf numFmtId="0" fontId="6" fillId="0" borderId="0" xfId="2">
      <alignment vertical="center"/>
    </xf>
    <xf numFmtId="176" fontId="6" fillId="0" borderId="2" xfId="2" applyNumberFormat="1" applyBorder="1" applyAlignment="1">
      <alignment horizontal="center" vertical="top" wrapText="1"/>
    </xf>
    <xf numFmtId="0" fontId="6" fillId="0" borderId="1" xfId="2" applyBorder="1" applyAlignment="1">
      <alignment horizontal="left" vertical="top" wrapText="1"/>
    </xf>
    <xf numFmtId="49" fontId="6" fillId="0" borderId="1" xfId="2" applyNumberFormat="1" applyBorder="1" applyAlignment="1">
      <alignment horizontal="left" vertical="top" wrapText="1"/>
    </xf>
    <xf numFmtId="14" fontId="6" fillId="0" borderId="1" xfId="2" applyNumberFormat="1" applyBorder="1" applyAlignment="1">
      <alignment horizontal="center" vertical="top" wrapText="1"/>
    </xf>
    <xf numFmtId="0" fontId="0" fillId="4" borderId="3" xfId="0" applyFill="1" applyBorder="1">
      <alignment vertical="center"/>
    </xf>
    <xf numFmtId="0" fontId="0" fillId="4" borderId="1" xfId="0" applyFill="1" applyBorder="1">
      <alignment vertical="center"/>
    </xf>
    <xf numFmtId="0" fontId="6" fillId="4" borderId="1" xfId="2" applyFill="1" applyBorder="1" applyAlignment="1">
      <alignment horizontal="center" vertical="center"/>
    </xf>
    <xf numFmtId="176" fontId="6" fillId="4" borderId="1" xfId="2" applyNumberFormat="1" applyFill="1"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49" fontId="6" fillId="0" borderId="12" xfId="2" applyNumberFormat="1" applyBorder="1" applyAlignment="1">
      <alignment horizontal="left" vertical="top" wrapText="1"/>
    </xf>
    <xf numFmtId="176" fontId="6" fillId="0" borderId="1" xfId="2" applyNumberFormat="1" applyBorder="1" applyAlignment="1">
      <alignment horizontal="center" vertical="top" wrapText="1"/>
    </xf>
    <xf numFmtId="0" fontId="0" fillId="2" borderId="1" xfId="0" applyFill="1" applyBorder="1" applyAlignment="1">
      <alignment horizontal="center" vertical="center"/>
    </xf>
    <xf numFmtId="0" fontId="0" fillId="4" borderId="2" xfId="0" applyFill="1" applyBorder="1">
      <alignment vertical="center"/>
    </xf>
    <xf numFmtId="0" fontId="0" fillId="4" borderId="4" xfId="0" applyFill="1" applyBorder="1">
      <alignment vertical="center"/>
    </xf>
    <xf numFmtId="0" fontId="0" fillId="0" borderId="4" xfId="0" applyBorder="1" applyAlignment="1">
      <alignment horizontal="left" vertical="top" wrapText="1"/>
    </xf>
    <xf numFmtId="0" fontId="0" fillId="0" borderId="1" xfId="0" quotePrefix="1" applyBorder="1" applyAlignment="1">
      <alignment horizontal="left" vertical="top" wrapText="1"/>
    </xf>
    <xf numFmtId="49" fontId="6" fillId="0" borderId="1" xfId="2" quotePrefix="1" applyNumberFormat="1" applyBorder="1" applyAlignment="1">
      <alignment horizontal="left" vertical="top" wrapText="1"/>
    </xf>
    <xf numFmtId="49" fontId="6" fillId="0" borderId="0" xfId="2" applyNumberFormat="1" applyAlignment="1">
      <alignment horizontal="left" vertical="top" wrapText="1"/>
    </xf>
    <xf numFmtId="177" fontId="6" fillId="0" borderId="3" xfId="2" applyNumberFormat="1" applyBorder="1" applyAlignment="1">
      <alignment horizontal="center" vertical="top" wrapText="1"/>
    </xf>
    <xf numFmtId="177" fontId="6" fillId="0" borderId="4" xfId="2" applyNumberFormat="1" applyBorder="1" applyAlignment="1">
      <alignment horizontal="center" vertical="top" wrapText="1"/>
    </xf>
    <xf numFmtId="0" fontId="7" fillId="3" borderId="6"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5" fillId="4" borderId="5" xfId="1" applyFill="1" applyBorder="1" applyAlignment="1" applyProtection="1">
      <alignment horizontal="center" vertical="center"/>
    </xf>
    <xf numFmtId="0" fontId="5" fillId="4" borderId="9" xfId="1" applyFill="1" applyBorder="1" applyAlignment="1" applyProtection="1">
      <alignment horizontal="center" vertical="center"/>
    </xf>
    <xf numFmtId="0" fontId="5" fillId="4" borderId="10" xfId="1" applyFill="1" applyBorder="1" applyAlignment="1" applyProtection="1">
      <alignment horizontal="center" vertical="center"/>
    </xf>
    <xf numFmtId="0" fontId="5" fillId="4" borderId="11" xfId="1" applyFill="1" applyBorder="1" applyAlignment="1" applyProtection="1">
      <alignment horizontal="center" vertical="center"/>
    </xf>
    <xf numFmtId="0" fontId="6" fillId="4" borderId="2" xfId="2" applyFill="1" applyBorder="1" applyAlignment="1">
      <alignment horizontal="center" vertical="center"/>
    </xf>
    <xf numFmtId="0" fontId="6" fillId="4" borderId="4" xfId="2" applyFill="1" applyBorder="1" applyAlignment="1">
      <alignment horizontal="center" vertical="center"/>
    </xf>
    <xf numFmtId="0" fontId="7" fillId="3" borderId="6" xfId="2" applyFont="1" applyFill="1" applyBorder="1" applyAlignment="1">
      <alignment horizontal="left" vertical="center"/>
    </xf>
    <xf numFmtId="0" fontId="7" fillId="3" borderId="7" xfId="2" applyFont="1" applyFill="1" applyBorder="1" applyAlignment="1">
      <alignment horizontal="left" vertical="center"/>
    </xf>
    <xf numFmtId="0" fontId="7" fillId="3" borderId="8" xfId="2" applyFont="1" applyFill="1" applyBorder="1" applyAlignment="1">
      <alignment horizontal="left" vertical="center"/>
    </xf>
    <xf numFmtId="49" fontId="6" fillId="0" borderId="6" xfId="2" applyNumberFormat="1" applyBorder="1" applyAlignment="1">
      <alignment horizontal="left" vertical="top"/>
    </xf>
    <xf numFmtId="49" fontId="6" fillId="0" borderId="7" xfId="2" applyNumberFormat="1" applyBorder="1" applyAlignment="1">
      <alignment horizontal="left" vertical="top"/>
    </xf>
    <xf numFmtId="49" fontId="6" fillId="0" borderId="8" xfId="2" applyNumberFormat="1" applyBorder="1" applyAlignment="1">
      <alignment horizontal="left" vertical="top"/>
    </xf>
  </cellXfs>
  <cellStyles count="3">
    <cellStyle name="ハイパーリンク" xfId="1" builtinId="8"/>
    <cellStyle name="標準" xfId="0" builtinId="0"/>
    <cellStyle name="標準 2" xfId="2" xr:uid="{00000000-0005-0000-0000-000002000000}"/>
  </cellStyles>
  <dxfs count="11">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5"/>
  <sheetViews>
    <sheetView tabSelected="1" zoomScaleNormal="100" workbookViewId="0">
      <pane ySplit="4" topLeftCell="A5" activePane="bottomLeft" state="frozen"/>
      <selection activeCell="A5" sqref="A5"/>
      <selection pane="bottomLeft" activeCell="D10" sqref="D10"/>
    </sheetView>
  </sheetViews>
  <sheetFormatPr defaultRowHeight="12.75" x14ac:dyDescent="0.25"/>
  <cols>
    <col min="1" max="1" width="9.73046875" bestFit="1" customWidth="1"/>
    <col min="2" max="2" width="41.265625" customWidth="1"/>
    <col min="3" max="3" width="13.59765625" customWidth="1"/>
    <col min="4" max="4" width="75" customWidth="1"/>
  </cols>
  <sheetData>
    <row r="1" spans="1:4" x14ac:dyDescent="0.25">
      <c r="A1" s="1" t="s">
        <v>0</v>
      </c>
      <c r="B1" s="2" t="s">
        <v>83</v>
      </c>
      <c r="C1" s="23" t="s">
        <v>28</v>
      </c>
    </row>
    <row r="2" spans="1:4" x14ac:dyDescent="0.25">
      <c r="A2" s="3" t="s">
        <v>1</v>
      </c>
      <c r="B2" s="2" t="s">
        <v>29</v>
      </c>
      <c r="C2" s="2">
        <f ca="1">JMSS01!C2+JMSS02!C2+JMSS03!C2+JMSS04!C2+JMSS05!C2+JMSS06!C2+JMSS07!C2+JMSS08!C2+JMSS09!C2</f>
        <v>46</v>
      </c>
    </row>
    <row r="4" spans="1:4" x14ac:dyDescent="0.25">
      <c r="A4" s="4" t="s">
        <v>2</v>
      </c>
      <c r="B4" s="4" t="s">
        <v>3</v>
      </c>
      <c r="C4" s="4" t="s">
        <v>4</v>
      </c>
      <c r="D4" s="4" t="s">
        <v>5</v>
      </c>
    </row>
    <row r="5" spans="1:4" x14ac:dyDescent="0.25">
      <c r="A5" s="15" t="str">
        <f>IF(B5="","",($B$1&amp;TEXT(IF(B5="","",COUNTA($B$5:B5)),"00")))</f>
        <v>JMSS01</v>
      </c>
      <c r="B5" s="19" t="s">
        <v>30</v>
      </c>
      <c r="C5" s="16" t="str">
        <f>IF(B5="",($B$1&amp;TEXT(IF(B5="",COUNTA($B$5:B5),1),"00")),A5)&amp;IF(B5&lt;&gt;"",TEXT(1,"00"),TEXT(IF(A5&lt;&gt;"",1,RIGHT(C4,2)+1),"00"))</f>
        <v>JMSS0101</v>
      </c>
      <c r="D5" s="5" t="s">
        <v>51</v>
      </c>
    </row>
    <row r="6" spans="1:4" x14ac:dyDescent="0.25">
      <c r="A6" s="15" t="str">
        <f>IF(B6="","",($B$1&amp;TEXT(IF(B6="","",COUNTA($B$5:B6)),"00")))</f>
        <v/>
      </c>
      <c r="B6" s="20"/>
      <c r="C6" s="16" t="str">
        <f>IF(B6="",($B$1&amp;TEXT(IF(B6="",COUNTA($B$5:B6),1),"00")),A6)&amp;IF(B6&lt;&gt;"",TEXT(1,"00"),TEXT(IF(A6&lt;&gt;"",1,RIGHT(C5,2)+1),"00"))</f>
        <v>JMSS0102</v>
      </c>
      <c r="D6" s="5" t="s">
        <v>52</v>
      </c>
    </row>
    <row r="7" spans="1:4" x14ac:dyDescent="0.25">
      <c r="A7" s="15" t="str">
        <f>IF(B7="","",($B$1&amp;TEXT(IF(B7="","",COUNTA($B$5:B7)),"00")))</f>
        <v/>
      </c>
      <c r="B7" s="20"/>
      <c r="C7" s="16" t="str">
        <f>IF(B7="",($B$1&amp;TEXT(IF(B7="",COUNTA($B$5:B7),1),"00")),A7)&amp;IF(B7&lt;&gt;"",TEXT(1,"00"),TEXT(IF(A7&lt;&gt;"",1,RIGHT(C6,2)+1),"00"))</f>
        <v>JMSS0103</v>
      </c>
      <c r="D7" s="5" t="s">
        <v>31</v>
      </c>
    </row>
    <row r="8" spans="1:4" x14ac:dyDescent="0.25">
      <c r="A8" s="15" t="str">
        <f>IF(B8="","",($B$1&amp;TEXT(IF(B8="","",COUNTA($B$5:B8)),"00")))</f>
        <v>JMSS02</v>
      </c>
      <c r="B8" s="20" t="s">
        <v>32</v>
      </c>
      <c r="C8" s="16" t="str">
        <f>IF(B8="",($B$1&amp;TEXT(IF(B8="",COUNTA($B$5:B8),1),"00")),A8)&amp;IF(B8&lt;&gt;"",TEXT(1,"00"),TEXT(IF(A8&lt;&gt;"",1,RIGHT(#REF!,2)+1),"00"))</f>
        <v>JMSS0201</v>
      </c>
      <c r="D8" s="5" t="s">
        <v>91</v>
      </c>
    </row>
    <row r="9" spans="1:4" x14ac:dyDescent="0.25">
      <c r="A9" s="15"/>
      <c r="B9" s="20"/>
      <c r="C9" s="16" t="str">
        <f>IF(B9="",($B$1&amp;TEXT(IF(B9="",COUNTA($B$5:B9),1),"00")),A9)&amp;IF(B9&lt;&gt;"",TEXT(1,"00"),TEXT(IF(A9&lt;&gt;"",1,RIGHT(C8,2)+1),"00"))</f>
        <v>JMSS0202</v>
      </c>
      <c r="D9" s="5" t="s">
        <v>92</v>
      </c>
    </row>
    <row r="10" spans="1:4" ht="14.25" customHeight="1" x14ac:dyDescent="0.25">
      <c r="A10" s="24" t="str">
        <f>IF(B10="","",($B$1&amp;TEXT(IF(B10="","",COUNTA($B$5:B10)),"00")))</f>
        <v>JMSS03</v>
      </c>
      <c r="B10" s="19" t="s">
        <v>33</v>
      </c>
      <c r="C10" s="16" t="str">
        <f>IF(B10="",($B$1&amp;TEXT(IF(B10="",COUNTA($B$5:B10),1),"00")),A10)&amp;IF(B10&lt;&gt;"",TEXT(1,"00"),TEXT(IF(A10&lt;&gt;"",1,RIGHT(C9,2)+1),"00"))</f>
        <v>JMSS0301</v>
      </c>
      <c r="D10" s="5" t="s">
        <v>56</v>
      </c>
    </row>
    <row r="11" spans="1:4" x14ac:dyDescent="0.25">
      <c r="A11" s="15"/>
      <c r="B11" s="20"/>
      <c r="C11" s="16" t="str">
        <f>IF(B11="",($B$1&amp;TEXT(IF(B11="",COUNTA($B$5:B11),1),"00")),A11)&amp;IF(B11&lt;&gt;"",TEXT(1,"00"),TEXT(IF(A11&lt;&gt;"",1,RIGHT(C10,2)+1),"00"))</f>
        <v>JMSS0302</v>
      </c>
      <c r="D11" s="5" t="s">
        <v>34</v>
      </c>
    </row>
    <row r="12" spans="1:4" x14ac:dyDescent="0.25">
      <c r="A12" s="25" t="str">
        <f>IF(B12="","",($B$1&amp;TEXT(IF(B12="","",COUNTA($B$5:B12)),"00")))</f>
        <v/>
      </c>
      <c r="B12" s="26"/>
      <c r="C12" s="16" t="str">
        <f>IF(B12="",($B$1&amp;TEXT(IF(B12="",COUNTA($B$5:B12),1),"00")),A12)&amp;IF(B12&lt;&gt;"",TEXT(1,"00"),TEXT(IF(A12&lt;&gt;"",1,RIGHT(C11,2)+1),"00"))</f>
        <v>JMSS0303</v>
      </c>
      <c r="D12" s="5" t="s">
        <v>35</v>
      </c>
    </row>
    <row r="13" spans="1:4" x14ac:dyDescent="0.25">
      <c r="A13" s="24" t="str">
        <f>IF(B13="","",($B$1&amp;TEXT(IF(B13="","",COUNTA($B$5:B13)),"00")))</f>
        <v>JMSS04</v>
      </c>
      <c r="B13" s="19" t="s">
        <v>36</v>
      </c>
      <c r="C13" s="16" t="str">
        <f>IF(B13="",($B$1&amp;TEXT(IF(B13="",COUNTA($B$5:B13),1),"00")),A13)&amp;IF(B13&lt;&gt;"",TEXT(1,"00"),TEXT(IF(A13&lt;&gt;"",1,RIGHT(C12,2)+1),"00"))</f>
        <v>JMSS0401</v>
      </c>
      <c r="D13" s="27" t="s">
        <v>37</v>
      </c>
    </row>
    <row r="14" spans="1:4" x14ac:dyDescent="0.25">
      <c r="A14" s="15"/>
      <c r="B14" s="20"/>
      <c r="C14" s="16" t="str">
        <f>IF(B14="",($B$1&amp;TEXT(IF(B14="",COUNTA($B$5:B14),1),"00")),A14)&amp;IF(B14&lt;&gt;"",TEXT(1,"00"),TEXT(IF(A14&lt;&gt;"",1,RIGHT(C13,2)+1),"00"))</f>
        <v>JMSS0402</v>
      </c>
      <c r="D14" s="27" t="s">
        <v>93</v>
      </c>
    </row>
    <row r="15" spans="1:4" x14ac:dyDescent="0.25">
      <c r="A15" s="15" t="str">
        <f>IF(B15="","",($B$1&amp;TEXT(IF(B15="","",COUNTA($B$5:B15)),"00")))</f>
        <v/>
      </c>
      <c r="B15" s="20"/>
      <c r="C15" s="16" t="str">
        <f>IF(B15="",($B$1&amp;TEXT(IF(B15="",COUNTA($B$5:B15),1),"00")),A15)&amp;IF(B15&lt;&gt;"",TEXT(1,"00"),TEXT(IF(A15&lt;&gt;"",1,RIGHT(C14,2)+1),"00"))</f>
        <v>JMSS0403</v>
      </c>
      <c r="D15" s="5" t="s">
        <v>94</v>
      </c>
    </row>
    <row r="16" spans="1:4" x14ac:dyDescent="0.25">
      <c r="A16" s="25" t="str">
        <f>IF(B16="","",($B$1&amp;TEXT(IF(B16="","",COUNTA($B$5:B16)),"00")))</f>
        <v/>
      </c>
      <c r="B16" s="26"/>
      <c r="C16" s="16" t="str">
        <f>IF(B16="",($B$1&amp;TEXT(IF(B16="",COUNTA($B$5:B16),1),"00")),A16)&amp;IF(B16&lt;&gt;"",TEXT(1,"00"),TEXT(IF(A16&lt;&gt;"",1,RIGHT(C15,2)+1),"00"))</f>
        <v>JMSS0404</v>
      </c>
      <c r="D16" s="5" t="s">
        <v>175</v>
      </c>
    </row>
    <row r="17" spans="1:4" x14ac:dyDescent="0.25">
      <c r="A17" s="16" t="str">
        <f>IF(B17="","",($B$1&amp;TEXT(IF(B17="","",COUNTA($B$5:B17)),"00")))</f>
        <v>JMSS05</v>
      </c>
      <c r="B17" s="5" t="s">
        <v>38</v>
      </c>
      <c r="C17" s="16" t="str">
        <f>IF(B17="",($B$1&amp;TEXT(IF(B17="",COUNTA($B$5:B17),1),"00")),A17)&amp;IF(B17&lt;&gt;"",TEXT(1,"00"),TEXT(IF(A17&lt;&gt;"",1,RIGHT(C15,2)+1),"00"))</f>
        <v>JMSS0501</v>
      </c>
      <c r="D17" s="5" t="s">
        <v>39</v>
      </c>
    </row>
    <row r="18" spans="1:4" x14ac:dyDescent="0.25">
      <c r="A18" s="24" t="str">
        <f>IF(B18="","",($B$1&amp;TEXT(IF(B18="","",COUNTA($B$5:B18)),"00")))</f>
        <v>JMSS06</v>
      </c>
      <c r="B18" s="19" t="s">
        <v>40</v>
      </c>
      <c r="C18" s="16" t="str">
        <f>IF(B18="",($B$1&amp;TEXT(IF(B18="",COUNTA($B$5:B18),1),"00")),A18)&amp;IF(B18&lt;&gt;"",TEXT(1,"00"),TEXT(IF(A18&lt;&gt;"",1,RIGHT(C17,2)+1),"00"))</f>
        <v>JMSS0601</v>
      </c>
      <c r="D18" s="27" t="s">
        <v>42</v>
      </c>
    </row>
    <row r="19" spans="1:4" x14ac:dyDescent="0.25">
      <c r="A19" s="15"/>
      <c r="B19" s="20"/>
      <c r="C19" s="16" t="str">
        <f>IF(B19="",($B$1&amp;TEXT(IF(B19="",COUNTA($B$5:B19),1),"00")),A19)&amp;IF(B19&lt;&gt;"",TEXT(1,"00"),TEXT(IF(A19&lt;&gt;"",1,RIGHT(C18,2)+1),"00"))</f>
        <v>JMSS0602</v>
      </c>
      <c r="D19" s="27" t="s">
        <v>43</v>
      </c>
    </row>
    <row r="20" spans="1:4" x14ac:dyDescent="0.25">
      <c r="A20" s="15"/>
      <c r="B20" s="20"/>
      <c r="C20" s="16" t="str">
        <f>IF(B20="",($B$1&amp;TEXT(IF(B20="",COUNTA($B$5:B20),1),"00")),A20)&amp;IF(B20&lt;&gt;"",TEXT(1,"00"),TEXT(IF(A20&lt;&gt;"",1,RIGHT(C19,2)+1),"00"))</f>
        <v>JMSS0603</v>
      </c>
      <c r="D20" s="27" t="s">
        <v>134</v>
      </c>
    </row>
    <row r="21" spans="1:4" x14ac:dyDescent="0.25">
      <c r="A21" s="25" t="str">
        <f>IF(B21="","",($B$1&amp;TEXT(IF(B21="","",COUNTA($B$5:B21)),"00")))</f>
        <v/>
      </c>
      <c r="B21" s="26"/>
      <c r="C21" s="16" t="str">
        <f>IF(B21="",($B$1&amp;TEXT(IF(B21="",COUNTA($B$5:B21),1),"00")),A21)&amp;IF(B21&lt;&gt;"",TEXT(1,"00"),TEXT(IF(A21&lt;&gt;"",1,RIGHT(C20,2)+1),"00"))</f>
        <v>JMSS0604</v>
      </c>
      <c r="D21" s="5" t="s">
        <v>41</v>
      </c>
    </row>
    <row r="22" spans="1:4" x14ac:dyDescent="0.25">
      <c r="A22" s="16" t="str">
        <f>IF(B22="","",($B$1&amp;TEXT(IF(B22="","",COUNTA($B$5:B22)),"00")))</f>
        <v>JMSS07</v>
      </c>
      <c r="B22" s="5" t="s">
        <v>44</v>
      </c>
      <c r="C22" s="16" t="str">
        <f>IF(B22="",($B$1&amp;TEXT(IF(B22="",COUNTA($B$5:B22),1),"00")),A22)&amp;IF(B22&lt;&gt;"",TEXT(1,"00"),TEXT(IF(A22&lt;&gt;"",1,RIGHT(C21,2)+1),"00"))</f>
        <v>JMSS0701</v>
      </c>
      <c r="D22" s="5" t="s">
        <v>45</v>
      </c>
    </row>
    <row r="23" spans="1:4" ht="14.25" customHeight="1" x14ac:dyDescent="0.25">
      <c r="A23" s="24" t="str">
        <f>IF(B23="","",($B$1&amp;TEXT(IF(B23="","",COUNTA($B$5:B23)),"00")))</f>
        <v>JMSS08</v>
      </c>
      <c r="B23" s="19" t="s">
        <v>46</v>
      </c>
      <c r="C23" s="16" t="str">
        <f>IF(B23="",($B$1&amp;TEXT(IF(B23="",COUNTA($B$5:B23),1),"00")),A23)&amp;IF(B23&lt;&gt;"",TEXT(1,"00"),TEXT(IF(A23&lt;&gt;"",1,RIGHT(C22,2)+1),"00"))</f>
        <v>JMSS0801</v>
      </c>
      <c r="D23" s="5" t="s">
        <v>47</v>
      </c>
    </row>
    <row r="24" spans="1:4" x14ac:dyDescent="0.25">
      <c r="A24" s="25"/>
      <c r="B24" s="26"/>
      <c r="C24" s="16" t="str">
        <f>IF(B24="",($B$1&amp;TEXT(IF(B24="",COUNTA($B$5:B24),1),"00")),A24)&amp;IF(B24&lt;&gt;"",TEXT(1,"00"),TEXT(IF(A24&lt;&gt;"",1,RIGHT(C23,2)+1),"00"))</f>
        <v>JMSS0802</v>
      </c>
      <c r="D24" s="5" t="s">
        <v>48</v>
      </c>
    </row>
    <row r="25" spans="1:4" ht="25.5" x14ac:dyDescent="0.25">
      <c r="A25" s="16" t="str">
        <f>IF(B25="","",($B$1&amp;TEXT(IF(B25="","",COUNTA($B$5:B25)),"00")))</f>
        <v>JMSS09</v>
      </c>
      <c r="B25" s="5" t="s">
        <v>49</v>
      </c>
      <c r="C25" s="16" t="str">
        <f>IF(B25="",($B$1&amp;TEXT(IF(B25="",COUNTA($B$5:B25),1),"00")),A25)&amp;IF(B25&lt;&gt;"",TEXT(1,"00"),TEXT(IF(A25&lt;&gt;"",1,RIGHT(C24,2)+1),"00"))</f>
        <v>JMSS0901</v>
      </c>
      <c r="D25" s="5" t="s">
        <v>50</v>
      </c>
    </row>
  </sheetData>
  <phoneticPr fontId="2"/>
  <conditionalFormatting sqref="A5:A25">
    <cfRule type="expression" dxfId="10" priority="2">
      <formula>$A5&lt;&gt;""</formula>
    </cfRule>
  </conditionalFormatting>
  <conditionalFormatting sqref="B5:B25">
    <cfRule type="expression" dxfId="9" priority="1">
      <formula>$B5&lt;&gt;""</formula>
    </cfRule>
  </conditionalFormatting>
  <pageMargins left="0.39370078740157483" right="0.39370078740157483" top="0.59055118110236227" bottom="0.59055118110236227" header="0.31496062992125984" footer="0.31496062992125984"/>
  <pageSetup paperSize="9" fitToHeight="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1"/>
  <sheetViews>
    <sheetView zoomScaleNormal="100" workbookViewId="0">
      <pane ySplit="8" topLeftCell="A9" activePane="bottomLeft" state="frozen"/>
      <selection activeCell="A5" sqref="A5"/>
      <selection pane="bottomLeft" activeCell="A9" sqref="A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6" width="41.73046875" customWidth="1"/>
    <col min="7" max="7" width="42" customWidth="1"/>
    <col min="8" max="8" width="45.46484375" customWidth="1"/>
    <col min="9" max="9" width="21.59765625" customWidth="1"/>
    <col min="10" max="10" width="40.3984375" customWidth="1"/>
  </cols>
  <sheetData>
    <row r="1" spans="1:10" ht="25.5" x14ac:dyDescent="0.25">
      <c r="A1" s="32" t="s">
        <v>6</v>
      </c>
      <c r="B1" s="33"/>
      <c r="C1" s="6" t="s">
        <v>7</v>
      </c>
      <c r="D1" s="6" t="s">
        <v>8</v>
      </c>
      <c r="E1" s="6" t="s">
        <v>9</v>
      </c>
      <c r="F1" s="6" t="s">
        <v>10</v>
      </c>
      <c r="G1" s="6" t="s">
        <v>11</v>
      </c>
      <c r="H1" s="7" t="s">
        <v>12</v>
      </c>
    </row>
    <row r="2" spans="1:10" x14ac:dyDescent="0.25">
      <c r="A2" s="34" t="s">
        <v>20</v>
      </c>
      <c r="B2" s="35"/>
      <c r="C2" s="38">
        <f ca="1">COUNTIFS($B$9:$B$65495,"&lt;&gt;",$J$9:$J$65495,"&lt;&gt;論理削除")</f>
        <v>3</v>
      </c>
      <c r="D2" s="17" t="str">
        <f>大中項目!B1</f>
        <v>JMSS</v>
      </c>
      <c r="E2" s="17" t="str" cm="1">
        <f t="array" aca="1" ref="E2" ca="1">MID(CELL("filename", A1), FIND("]", CELL("filename", A1)) + 1, 255)</f>
        <v>JMSS01</v>
      </c>
      <c r="F2" s="9"/>
      <c r="G2" s="9"/>
      <c r="H2" s="8"/>
    </row>
    <row r="3" spans="1:10" x14ac:dyDescent="0.25">
      <c r="A3" s="36"/>
      <c r="B3" s="37"/>
      <c r="C3" s="39"/>
      <c r="D3" s="17" t="str">
        <f>大中項目!B2</f>
        <v>JMS</v>
      </c>
      <c r="E3" s="17" t="str">
        <f ca="1">INDEX(大中項目!B:B, MATCH(E2, 大中項目!A:A, 0))</f>
        <v>コネクションファクトリ定義方法</v>
      </c>
      <c r="F3" s="9"/>
      <c r="G3" s="9"/>
      <c r="H3" s="9"/>
    </row>
    <row r="4" spans="1:10" x14ac:dyDescent="0.25">
      <c r="A4" s="10"/>
      <c r="B4" s="10"/>
      <c r="C4" s="10"/>
      <c r="D4" s="10"/>
      <c r="E4" s="10"/>
      <c r="F4" s="10"/>
      <c r="G4" s="10"/>
      <c r="H4" s="10"/>
    </row>
    <row r="5" spans="1:10" x14ac:dyDescent="0.25">
      <c r="A5" s="40" t="s">
        <v>13</v>
      </c>
      <c r="B5" s="41"/>
      <c r="C5" s="41"/>
      <c r="D5" s="41"/>
      <c r="E5" s="41"/>
      <c r="F5" s="41"/>
      <c r="G5" s="41"/>
      <c r="H5" s="42"/>
    </row>
    <row r="6" spans="1:10" ht="42" customHeight="1" x14ac:dyDescent="0.25">
      <c r="A6" s="43" t="s">
        <v>14</v>
      </c>
      <c r="B6" s="44"/>
      <c r="C6" s="44"/>
      <c r="D6" s="44"/>
      <c r="E6" s="44"/>
      <c r="F6" s="44"/>
      <c r="G6" s="44"/>
      <c r="H6" s="45"/>
    </row>
    <row r="7" spans="1:10" x14ac:dyDescent="0.25">
      <c r="A7" s="10"/>
      <c r="B7" s="10"/>
      <c r="C7" s="10"/>
      <c r="D7" s="10"/>
      <c r="E7" s="10"/>
      <c r="F7" s="10"/>
      <c r="G7" s="10"/>
      <c r="H7" s="10"/>
    </row>
    <row r="8" spans="1:10" ht="25.5" x14ac:dyDescent="0.25">
      <c r="A8" s="6" t="s">
        <v>4</v>
      </c>
      <c r="B8" s="7" t="s">
        <v>21</v>
      </c>
      <c r="C8" s="6" t="s">
        <v>15</v>
      </c>
      <c r="D8" s="6" t="s">
        <v>16</v>
      </c>
      <c r="E8" s="6" t="s">
        <v>17</v>
      </c>
      <c r="F8" s="7" t="s">
        <v>24</v>
      </c>
      <c r="G8" s="7" t="s">
        <v>23</v>
      </c>
      <c r="H8" s="6" t="s">
        <v>18</v>
      </c>
      <c r="I8" s="6" t="s">
        <v>19</v>
      </c>
    </row>
    <row r="9" spans="1:10" ht="150" customHeight="1" x14ac:dyDescent="0.25">
      <c r="A9" s="30" t="s">
        <v>240</v>
      </c>
      <c r="B9" s="18">
        <f ca="1">IF(A9&lt;&gt;"",1,INDIRECT(ADDRESS(ROW(B9)-1,COLUMN(B9),4))+1)</f>
        <v>1</v>
      </c>
      <c r="C9" s="12" t="s">
        <v>22</v>
      </c>
      <c r="D9" s="13" t="s">
        <v>59</v>
      </c>
      <c r="E9" s="13" t="s">
        <v>57</v>
      </c>
      <c r="F9" s="13" t="s">
        <v>102</v>
      </c>
      <c r="G9" s="13" t="s">
        <v>101</v>
      </c>
      <c r="H9" s="13" t="s">
        <v>106</v>
      </c>
      <c r="I9" s="14" t="s">
        <v>236</v>
      </c>
    </row>
    <row r="10" spans="1:10" ht="120" customHeight="1" x14ac:dyDescent="0.25">
      <c r="A10" s="30" t="s">
        <v>241</v>
      </c>
      <c r="B10" s="18">
        <f t="shared" ref="B10" ca="1" si="0">IF(A10&lt;&gt;"",1,INDIRECT(ADDRESS(ROW(B10)-1,COLUMN(B10),4))+1)</f>
        <v>1</v>
      </c>
      <c r="C10" s="12" t="s">
        <v>22</v>
      </c>
      <c r="D10" s="13" t="s">
        <v>60</v>
      </c>
      <c r="E10" s="13" t="s">
        <v>53</v>
      </c>
      <c r="F10" s="13" t="s">
        <v>135</v>
      </c>
      <c r="G10" s="13" t="s">
        <v>103</v>
      </c>
      <c r="H10" s="13" t="s">
        <v>106</v>
      </c>
      <c r="I10" s="14" t="s">
        <v>236</v>
      </c>
    </row>
    <row r="11" spans="1:10" ht="103.5" customHeight="1" x14ac:dyDescent="0.25">
      <c r="A11" s="31" t="s">
        <v>242</v>
      </c>
      <c r="B11" s="18">
        <f t="shared" ref="B11" ca="1" si="1">IF(A11&lt;&gt;"",1,INDIRECT(ADDRESS(ROW(B11)-1,COLUMN(B11),4))+1)</f>
        <v>1</v>
      </c>
      <c r="C11" s="12" t="s">
        <v>22</v>
      </c>
      <c r="D11" s="13" t="s">
        <v>61</v>
      </c>
      <c r="E11" s="13" t="s">
        <v>54</v>
      </c>
      <c r="F11" s="13" t="s">
        <v>136</v>
      </c>
      <c r="G11" s="13" t="s">
        <v>103</v>
      </c>
      <c r="H11" s="13" t="s">
        <v>106</v>
      </c>
      <c r="I11" s="14" t="s">
        <v>236</v>
      </c>
      <c r="J11" s="21"/>
    </row>
  </sheetData>
  <autoFilter ref="A8:K11" xr:uid="{00000000-0009-0000-0000-000001000000}"/>
  <mergeCells count="5">
    <mergeCell ref="A1:B1"/>
    <mergeCell ref="A2:B3"/>
    <mergeCell ref="C2:C3"/>
    <mergeCell ref="A5:H5"/>
    <mergeCell ref="A6:H6"/>
  </mergeCells>
  <phoneticPr fontId="2"/>
  <conditionalFormatting sqref="A9:B11">
    <cfRule type="expression" dxfId="8" priority="1">
      <formula>A9&lt;&gt;""</formula>
    </cfRule>
  </conditionalFormatting>
  <dataValidations count="2">
    <dataValidation type="list" allowBlank="1" showInputMessage="1" showErrorMessage="1" sqref="I9:I11" xr:uid="{00000000-0002-0000-0100-000000000000}">
      <formula1>"Selenium:○,Seleniumu:△,Selenium:×,JUnit:○,JUnit:△,Junit:×,手動実行,机上"</formula1>
    </dataValidation>
    <dataValidation type="list" allowBlank="1" showInputMessage="1" showErrorMessage="1" sqref="C9:C11" xr:uid="{00000000-0002-0000-0100-000001000000}">
      <formula1>"正常,クライアントエラー,サーバーエラー"</formula1>
    </dataValidation>
  </dataValidations>
  <hyperlinks>
    <hyperlink ref="A2" location="大中項目!A1" display="目次へ" xr:uid="{00000000-0004-0000-0100-000000000000}"/>
  </hyperlinks>
  <pageMargins left="0.39370078740157483" right="0.39370078740157483" top="0.59055118110236227" bottom="0.59055118110236227" header="0.31496062992125984" footer="0.31496062992125984"/>
  <pageSetup paperSize="9" scale="70" fitToHeight="0" orientation="landscape"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10"/>
  <sheetViews>
    <sheetView zoomScaleNormal="100" workbookViewId="0">
      <pane ySplit="8" topLeftCell="A9" activePane="bottomLeft" state="frozen"/>
      <selection activeCell="A5" sqref="A5"/>
      <selection pane="bottomLeft" activeCell="A9" sqref="A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6" width="41.73046875" customWidth="1"/>
    <col min="7" max="7" width="42" customWidth="1"/>
    <col min="8" max="8" width="44.46484375" customWidth="1"/>
    <col min="9" max="9" width="22.73046875" customWidth="1"/>
    <col min="10" max="10" width="18.3984375" bestFit="1" customWidth="1"/>
  </cols>
  <sheetData>
    <row r="1" spans="1:10" ht="25.5" x14ac:dyDescent="0.25">
      <c r="A1" s="32" t="s">
        <v>6</v>
      </c>
      <c r="B1" s="33"/>
      <c r="C1" s="6" t="s">
        <v>7</v>
      </c>
      <c r="D1" s="6" t="s">
        <v>8</v>
      </c>
      <c r="E1" s="6" t="s">
        <v>9</v>
      </c>
      <c r="F1" s="6" t="s">
        <v>10</v>
      </c>
      <c r="G1" s="6" t="s">
        <v>11</v>
      </c>
      <c r="H1" s="7" t="s">
        <v>12</v>
      </c>
    </row>
    <row r="2" spans="1:10" x14ac:dyDescent="0.25">
      <c r="A2" s="34" t="s">
        <v>20</v>
      </c>
      <c r="B2" s="35"/>
      <c r="C2" s="38">
        <f ca="1">COUNTIFS($B$9:$B$65495,"&lt;&gt;",$J$9:$J$65495,"&lt;&gt;論理削除")</f>
        <v>2</v>
      </c>
      <c r="D2" s="17" t="str">
        <f>大中項目!B1</f>
        <v>JMSS</v>
      </c>
      <c r="E2" s="17" t="str" cm="1">
        <f t="array" aca="1" ref="E2" ca="1">MID(CELL("filename", A1), FIND("]", CELL("filename", A1)) + 1, 255)</f>
        <v>JMSS02</v>
      </c>
      <c r="F2" s="9"/>
      <c r="G2" s="9"/>
      <c r="H2" s="8"/>
    </row>
    <row r="3" spans="1:10" x14ac:dyDescent="0.25">
      <c r="A3" s="36"/>
      <c r="B3" s="37"/>
      <c r="C3" s="39"/>
      <c r="D3" s="17" t="str">
        <f>大中項目!B2</f>
        <v>JMS</v>
      </c>
      <c r="E3" s="17" t="str">
        <f ca="1">INDEX(大中項目!B:B, MATCH(E2, 大中項目!A:A, 0))</f>
        <v>Destinationの名前解決</v>
      </c>
      <c r="F3" s="9"/>
      <c r="G3" s="9"/>
      <c r="H3" s="9"/>
    </row>
    <row r="4" spans="1:10" x14ac:dyDescent="0.25">
      <c r="A4" s="10"/>
      <c r="B4" s="10"/>
      <c r="C4" s="10"/>
      <c r="D4" s="10"/>
      <c r="E4" s="10"/>
      <c r="F4" s="10"/>
      <c r="G4" s="10"/>
      <c r="H4" s="10"/>
    </row>
    <row r="5" spans="1:10" x14ac:dyDescent="0.25">
      <c r="A5" s="40" t="s">
        <v>13</v>
      </c>
      <c r="B5" s="41"/>
      <c r="C5" s="41"/>
      <c r="D5" s="41"/>
      <c r="E5" s="41"/>
      <c r="F5" s="41"/>
      <c r="G5" s="41"/>
      <c r="H5" s="42"/>
    </row>
    <row r="6" spans="1:10" ht="42" customHeight="1" x14ac:dyDescent="0.25">
      <c r="A6" s="43" t="s">
        <v>14</v>
      </c>
      <c r="B6" s="44"/>
      <c r="C6" s="44"/>
      <c r="D6" s="44"/>
      <c r="E6" s="44"/>
      <c r="F6" s="44"/>
      <c r="G6" s="44"/>
      <c r="H6" s="45"/>
    </row>
    <row r="7" spans="1:10" x14ac:dyDescent="0.25">
      <c r="A7" s="10"/>
      <c r="B7" s="10"/>
      <c r="C7" s="10"/>
      <c r="D7" s="10"/>
      <c r="E7" s="10"/>
      <c r="F7" s="10"/>
      <c r="G7" s="10"/>
      <c r="H7" s="10"/>
    </row>
    <row r="8" spans="1:10" ht="25.5" x14ac:dyDescent="0.25">
      <c r="A8" s="6" t="s">
        <v>4</v>
      </c>
      <c r="B8" s="7" t="s">
        <v>21</v>
      </c>
      <c r="C8" s="6" t="s">
        <v>15</v>
      </c>
      <c r="D8" s="6" t="s">
        <v>16</v>
      </c>
      <c r="E8" s="6" t="s">
        <v>17</v>
      </c>
      <c r="F8" s="7" t="s">
        <v>24</v>
      </c>
      <c r="G8" s="7" t="s">
        <v>25</v>
      </c>
      <c r="H8" s="6" t="s">
        <v>18</v>
      </c>
      <c r="I8" s="6" t="s">
        <v>19</v>
      </c>
    </row>
    <row r="9" spans="1:10" ht="120.75" customHeight="1" x14ac:dyDescent="0.25">
      <c r="A9" s="30" t="s">
        <v>243</v>
      </c>
      <c r="B9" s="18">
        <f ca="1">IF(A9&lt;&gt;"",1,INDIRECT(ADDRESS(ROW(B9)-1,COLUMN(B9),4))+1)</f>
        <v>1</v>
      </c>
      <c r="C9" s="12" t="s">
        <v>22</v>
      </c>
      <c r="D9" s="13" t="s">
        <v>122</v>
      </c>
      <c r="E9" s="13" t="s">
        <v>96</v>
      </c>
      <c r="F9" s="13" t="s">
        <v>148</v>
      </c>
      <c r="G9" s="13" t="s">
        <v>104</v>
      </c>
      <c r="H9" s="13" t="s">
        <v>237</v>
      </c>
      <c r="I9" s="14" t="s">
        <v>236</v>
      </c>
      <c r="J9" s="29"/>
    </row>
    <row r="10" spans="1:10" ht="120.75" customHeight="1" x14ac:dyDescent="0.25">
      <c r="A10" s="31" t="s">
        <v>244</v>
      </c>
      <c r="B10" s="18">
        <f ca="1">IF(A10&lt;&gt;"",1,INDIRECT(ADDRESS(ROW(B10)-1,COLUMN(B10),4))+1)</f>
        <v>1</v>
      </c>
      <c r="C10" s="12" t="s">
        <v>22</v>
      </c>
      <c r="D10" s="13" t="s">
        <v>123</v>
      </c>
      <c r="E10" s="13" t="s">
        <v>97</v>
      </c>
      <c r="F10" s="13" t="s">
        <v>149</v>
      </c>
      <c r="G10" s="13" t="s">
        <v>105</v>
      </c>
      <c r="H10" s="13" t="s">
        <v>238</v>
      </c>
      <c r="I10" s="14" t="s">
        <v>236</v>
      </c>
      <c r="J10" s="29"/>
    </row>
  </sheetData>
  <mergeCells count="5">
    <mergeCell ref="A1:B1"/>
    <mergeCell ref="A2:B3"/>
    <mergeCell ref="C2:C3"/>
    <mergeCell ref="A5:H5"/>
    <mergeCell ref="A6:H6"/>
  </mergeCells>
  <phoneticPr fontId="2"/>
  <conditionalFormatting sqref="A9:B10">
    <cfRule type="expression" dxfId="7" priority="1">
      <formula>A9&lt;&gt;""</formula>
    </cfRule>
  </conditionalFormatting>
  <dataValidations count="2">
    <dataValidation type="list" allowBlank="1" showInputMessage="1" showErrorMessage="1" sqref="I9:I10" xr:uid="{DCD9D5D0-0996-4A40-AC44-0A378D30BFE9}">
      <formula1>"Selenium:○,Seleniumu:△,Selenium:×,JUnit:○,JUnit:△,Junit:×,手動実行,机上"</formula1>
    </dataValidation>
    <dataValidation type="list" allowBlank="1" showInputMessage="1" showErrorMessage="1" sqref="C9:C10" xr:uid="{00000000-0002-0000-0200-000001000000}">
      <formula1>"正常,クライアントエラー,サーバーエラー"</formula1>
    </dataValidation>
  </dataValidations>
  <hyperlinks>
    <hyperlink ref="A2" location="大中項目!A1" display="目次へ" xr:uid="{00000000-0004-0000-0200-000000000000}"/>
  </hyperlinks>
  <pageMargins left="0.39370078740157483" right="0.39370078740157483" top="0.59055118110236227" bottom="0.59055118110236227" header="0.31496062992125984" footer="0.31496062992125984"/>
  <pageSetup paperSize="9" scale="70" fitToHeight="0" orientation="landscape"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5"/>
  <sheetViews>
    <sheetView zoomScaleNormal="100" workbookViewId="0">
      <pane ySplit="8" topLeftCell="A9" activePane="bottomLeft" state="frozen"/>
      <selection activeCell="A5" sqref="A5"/>
      <selection pane="bottomLeft" activeCell="A9" sqref="A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6" width="41.73046875" customWidth="1"/>
    <col min="7" max="7" width="42" customWidth="1"/>
    <col min="8" max="8" width="43.46484375" customWidth="1"/>
    <col min="9" max="9" width="19.265625" customWidth="1"/>
    <col min="10" max="10" width="33" customWidth="1"/>
  </cols>
  <sheetData>
    <row r="1" spans="1:10" ht="25.5" x14ac:dyDescent="0.25">
      <c r="A1" s="32" t="s">
        <v>6</v>
      </c>
      <c r="B1" s="33"/>
      <c r="C1" s="6" t="s">
        <v>7</v>
      </c>
      <c r="D1" s="6" t="s">
        <v>8</v>
      </c>
      <c r="E1" s="6" t="s">
        <v>9</v>
      </c>
      <c r="F1" s="6" t="s">
        <v>10</v>
      </c>
      <c r="G1" s="6" t="s">
        <v>11</v>
      </c>
      <c r="H1" s="7" t="s">
        <v>12</v>
      </c>
    </row>
    <row r="2" spans="1:10" x14ac:dyDescent="0.25">
      <c r="A2" s="34" t="s">
        <v>20</v>
      </c>
      <c r="B2" s="35"/>
      <c r="C2" s="38">
        <f ca="1">COUNTIFS($B$9:$B$65495,"&lt;&gt;",$J$9:$J$65495,"&lt;&gt;論理削除")</f>
        <v>7</v>
      </c>
      <c r="D2" s="17" t="str">
        <f>大中項目!B1</f>
        <v>JMSS</v>
      </c>
      <c r="E2" s="17" t="str" cm="1">
        <f t="array" aca="1" ref="E2" ca="1">MID(CELL("filename", A1), FIND("]", CELL("filename", A1)) + 1, 255)</f>
        <v>JMSS03</v>
      </c>
      <c r="F2" s="9"/>
      <c r="G2" s="9"/>
      <c r="H2" s="8"/>
    </row>
    <row r="3" spans="1:10" x14ac:dyDescent="0.25">
      <c r="A3" s="36"/>
      <c r="B3" s="37"/>
      <c r="C3" s="39"/>
      <c r="D3" s="17" t="str">
        <f>大中項目!B2</f>
        <v>JMS</v>
      </c>
      <c r="E3" s="17" t="str">
        <f ca="1">INDEX(大中項目!B:B, MATCH(E2, 大中項目!A:A, 0))</f>
        <v>メッセージ送信</v>
      </c>
      <c r="F3" s="9"/>
      <c r="G3" s="9"/>
      <c r="H3" s="9"/>
    </row>
    <row r="4" spans="1:10" x14ac:dyDescent="0.25">
      <c r="A4" s="10"/>
      <c r="B4" s="10"/>
      <c r="C4" s="10"/>
      <c r="D4" s="10"/>
      <c r="E4" s="10"/>
      <c r="F4" s="10"/>
      <c r="G4" s="10"/>
      <c r="H4" s="10"/>
    </row>
    <row r="5" spans="1:10" x14ac:dyDescent="0.25">
      <c r="A5" s="40" t="s">
        <v>13</v>
      </c>
      <c r="B5" s="41"/>
      <c r="C5" s="41"/>
      <c r="D5" s="41"/>
      <c r="E5" s="41"/>
      <c r="F5" s="41"/>
      <c r="G5" s="41"/>
      <c r="H5" s="42"/>
    </row>
    <row r="6" spans="1:10" ht="42" customHeight="1" x14ac:dyDescent="0.25">
      <c r="A6" s="43" t="s">
        <v>14</v>
      </c>
      <c r="B6" s="44"/>
      <c r="C6" s="44"/>
      <c r="D6" s="44"/>
      <c r="E6" s="44"/>
      <c r="F6" s="44"/>
      <c r="G6" s="44"/>
      <c r="H6" s="45"/>
    </row>
    <row r="7" spans="1:10" x14ac:dyDescent="0.25">
      <c r="A7" s="10"/>
      <c r="B7" s="10"/>
      <c r="C7" s="10"/>
      <c r="D7" s="10"/>
      <c r="E7" s="10"/>
      <c r="F7" s="10"/>
      <c r="G7" s="10"/>
      <c r="H7" s="10"/>
    </row>
    <row r="8" spans="1:10" ht="25.5" x14ac:dyDescent="0.25">
      <c r="A8" s="6" t="s">
        <v>4</v>
      </c>
      <c r="B8" s="7" t="s">
        <v>21</v>
      </c>
      <c r="C8" s="6" t="s">
        <v>15</v>
      </c>
      <c r="D8" s="6" t="s">
        <v>16</v>
      </c>
      <c r="E8" s="6" t="s">
        <v>17</v>
      </c>
      <c r="F8" s="7" t="s">
        <v>24</v>
      </c>
      <c r="G8" s="7" t="s">
        <v>27</v>
      </c>
      <c r="H8" s="6" t="s">
        <v>18</v>
      </c>
      <c r="I8" s="6" t="s">
        <v>19</v>
      </c>
    </row>
    <row r="9" spans="1:10" ht="108.75" customHeight="1" x14ac:dyDescent="0.25">
      <c r="A9" s="30" t="s">
        <v>245</v>
      </c>
      <c r="B9" s="18">
        <f ca="1">IF(A9&lt;&gt;"",1,INDIRECT(ADDRESS(ROW(B9)-1,COLUMN(B9),4))+1)</f>
        <v>1</v>
      </c>
      <c r="C9" s="12" t="s">
        <v>22</v>
      </c>
      <c r="D9" s="13" t="s">
        <v>63</v>
      </c>
      <c r="E9" s="13" t="s">
        <v>58</v>
      </c>
      <c r="F9" s="13" t="s">
        <v>138</v>
      </c>
      <c r="G9" s="13" t="s">
        <v>107</v>
      </c>
      <c r="H9" s="13" t="s">
        <v>95</v>
      </c>
      <c r="I9" s="14" t="s">
        <v>236</v>
      </c>
      <c r="J9" s="21"/>
    </row>
    <row r="10" spans="1:10" ht="91.5" customHeight="1" x14ac:dyDescent="0.25">
      <c r="A10" s="30"/>
      <c r="B10" s="18">
        <f ca="1">IF(A10&lt;&gt;"",1,INDIRECT(ADDRESS(ROW(B10)-1,COLUMN(B10),4))+1)</f>
        <v>2</v>
      </c>
      <c r="C10" s="12" t="s">
        <v>22</v>
      </c>
      <c r="D10" s="13" t="s">
        <v>64</v>
      </c>
      <c r="E10" s="13" t="s">
        <v>62</v>
      </c>
      <c r="F10" s="13" t="s">
        <v>150</v>
      </c>
      <c r="G10" s="13" t="s">
        <v>85</v>
      </c>
      <c r="H10" s="13" t="s">
        <v>239</v>
      </c>
      <c r="I10" s="14" t="s">
        <v>236</v>
      </c>
      <c r="J10" s="21"/>
    </row>
    <row r="11" spans="1:10" ht="99.75" customHeight="1" x14ac:dyDescent="0.25">
      <c r="A11" s="30"/>
      <c r="B11" s="18">
        <f ca="1">IF(A11&lt;&gt;"",1,INDIRECT(ADDRESS(ROW(B11)-1,COLUMN(B11),4))+1)</f>
        <v>3</v>
      </c>
      <c r="C11" s="12" t="s">
        <v>22</v>
      </c>
      <c r="D11" s="13" t="s">
        <v>65</v>
      </c>
      <c r="E11" s="13" t="s">
        <v>124</v>
      </c>
      <c r="F11" s="13" t="s">
        <v>139</v>
      </c>
      <c r="G11" s="13" t="s">
        <v>84</v>
      </c>
      <c r="H11" s="13" t="s">
        <v>95</v>
      </c>
      <c r="I11" s="14" t="s">
        <v>236</v>
      </c>
      <c r="J11" s="21"/>
    </row>
    <row r="12" spans="1:10" ht="102" customHeight="1" x14ac:dyDescent="0.25">
      <c r="A12" s="30"/>
      <c r="B12" s="18">
        <f ca="1">IF(A12&lt;&gt;"",1,INDIRECT(ADDRESS(ROW(B12)-1,COLUMN(B12),4))+1)</f>
        <v>4</v>
      </c>
      <c r="C12" s="12" t="s">
        <v>22</v>
      </c>
      <c r="D12" s="13" t="s">
        <v>98</v>
      </c>
      <c r="E12" s="13" t="s">
        <v>99</v>
      </c>
      <c r="F12" s="13" t="s">
        <v>151</v>
      </c>
      <c r="G12" s="13" t="s">
        <v>89</v>
      </c>
      <c r="H12" s="13" t="s">
        <v>100</v>
      </c>
      <c r="I12" s="14" t="s">
        <v>236</v>
      </c>
      <c r="J12" s="21"/>
    </row>
    <row r="13" spans="1:10" ht="110.25" customHeight="1" x14ac:dyDescent="0.25">
      <c r="A13" s="30" t="s">
        <v>246</v>
      </c>
      <c r="B13" s="18">
        <f t="shared" ref="B13:B15" ca="1" si="0">IF(A13&lt;&gt;"",1,INDIRECT(ADDRESS(ROW(B13)-1,COLUMN(B13),4))+1)</f>
        <v>1</v>
      </c>
      <c r="C13" s="12" t="s">
        <v>22</v>
      </c>
      <c r="D13" s="13" t="s">
        <v>55</v>
      </c>
      <c r="E13" s="13" t="s">
        <v>66</v>
      </c>
      <c r="F13" s="13" t="s">
        <v>137</v>
      </c>
      <c r="G13" s="13" t="s">
        <v>108</v>
      </c>
      <c r="H13" s="13" t="s">
        <v>109</v>
      </c>
      <c r="I13" s="14" t="s">
        <v>236</v>
      </c>
      <c r="J13" s="21"/>
    </row>
    <row r="14" spans="1:10" ht="145.5" customHeight="1" x14ac:dyDescent="0.25">
      <c r="A14" s="30" t="s">
        <v>247</v>
      </c>
      <c r="B14" s="18">
        <f t="shared" ca="1" si="0"/>
        <v>1</v>
      </c>
      <c r="C14" s="12" t="s">
        <v>22</v>
      </c>
      <c r="D14" s="13" t="s">
        <v>201</v>
      </c>
      <c r="E14" s="13" t="s">
        <v>202</v>
      </c>
      <c r="F14" s="13" t="s">
        <v>203</v>
      </c>
      <c r="G14" s="13" t="s">
        <v>207</v>
      </c>
      <c r="H14" s="13" t="s">
        <v>208</v>
      </c>
      <c r="I14" s="14" t="s">
        <v>236</v>
      </c>
      <c r="J14" s="21"/>
    </row>
    <row r="15" spans="1:10" ht="114.75" x14ac:dyDescent="0.25">
      <c r="A15" s="31"/>
      <c r="B15" s="18">
        <f t="shared" ca="1" si="0"/>
        <v>2</v>
      </c>
      <c r="C15" s="12" t="s">
        <v>22</v>
      </c>
      <c r="D15" s="13" t="s">
        <v>201</v>
      </c>
      <c r="E15" s="13" t="s">
        <v>202</v>
      </c>
      <c r="F15" s="13" t="s">
        <v>204</v>
      </c>
      <c r="G15" s="13" t="s">
        <v>206</v>
      </c>
      <c r="H15" s="13" t="s">
        <v>205</v>
      </c>
      <c r="I15" s="14" t="s">
        <v>236</v>
      </c>
    </row>
  </sheetData>
  <mergeCells count="5">
    <mergeCell ref="A1:B1"/>
    <mergeCell ref="A2:B3"/>
    <mergeCell ref="C2:C3"/>
    <mergeCell ref="A5:H5"/>
    <mergeCell ref="A6:H6"/>
  </mergeCells>
  <phoneticPr fontId="2"/>
  <conditionalFormatting sqref="A9:B15">
    <cfRule type="expression" dxfId="6" priority="1">
      <formula>A9&lt;&gt;""</formula>
    </cfRule>
  </conditionalFormatting>
  <dataValidations count="2">
    <dataValidation type="list" allowBlank="1" showInputMessage="1" showErrorMessage="1" sqref="I9:I15" xr:uid="{00000000-0002-0000-0300-000000000000}">
      <formula1>"Selenium:○,Seleniumu:△,Selenium:×,JUnit:○,JUnit:△,Junit:×,手動実行,机上"</formula1>
    </dataValidation>
    <dataValidation type="list" allowBlank="1" showInputMessage="1" showErrorMessage="1" sqref="C9:C15" xr:uid="{00000000-0002-0000-0300-000001000000}">
      <formula1>"正常,クライアントエラー,サーバーエラー"</formula1>
    </dataValidation>
  </dataValidations>
  <hyperlinks>
    <hyperlink ref="A2" location="大中項目!A1" display="目次へ" xr:uid="{00000000-0004-0000-0300-000000000000}"/>
  </hyperlinks>
  <pageMargins left="0.39370078740157483" right="0.39370078740157483" top="0.59055118110236227" bottom="0.59055118110236227" header="0.31496062992125984" footer="0.31496062992125984"/>
  <pageSetup paperSize="9" scale="70" fitToHeight="0" orientation="landscape"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8"/>
  <sheetViews>
    <sheetView topLeftCell="B1" zoomScaleNormal="100" workbookViewId="0">
      <pane ySplit="8" topLeftCell="A9" activePane="bottomLeft" state="frozen"/>
      <selection activeCell="A5" sqref="A5"/>
      <selection pane="bottomLeft" activeCell="B9" sqref="B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6" width="41.73046875" customWidth="1"/>
    <col min="7" max="7" width="42" customWidth="1"/>
    <col min="8" max="8" width="44.3984375" customWidth="1"/>
    <col min="9" max="9" width="19.1328125" customWidth="1"/>
    <col min="10" max="10" width="34.1328125" customWidth="1"/>
  </cols>
  <sheetData>
    <row r="1" spans="1:10" ht="25.5" x14ac:dyDescent="0.25">
      <c r="A1" s="32" t="s">
        <v>6</v>
      </c>
      <c r="B1" s="33"/>
      <c r="C1" s="6" t="s">
        <v>7</v>
      </c>
      <c r="D1" s="6" t="s">
        <v>8</v>
      </c>
      <c r="E1" s="6" t="s">
        <v>9</v>
      </c>
      <c r="F1" s="6" t="s">
        <v>10</v>
      </c>
      <c r="G1" s="6" t="s">
        <v>11</v>
      </c>
      <c r="H1" s="7" t="s">
        <v>12</v>
      </c>
    </row>
    <row r="2" spans="1:10" x14ac:dyDescent="0.25">
      <c r="A2" s="34" t="s">
        <v>20</v>
      </c>
      <c r="B2" s="35"/>
      <c r="C2" s="38">
        <f ca="1">COUNTIFS($B$9:$B$65495,"&lt;&gt;",$J$9:$J$65495,"&lt;&gt;論理削除")</f>
        <v>10</v>
      </c>
      <c r="D2" s="17" t="str">
        <f>大中項目!B1</f>
        <v>JMSS</v>
      </c>
      <c r="E2" s="17" t="str" cm="1">
        <f t="array" aca="1" ref="E2" ca="1">MID(CELL("filename", A1), FIND("]", CELL("filename", A1)) + 1, 255)</f>
        <v>JMSS04</v>
      </c>
      <c r="F2" s="9"/>
      <c r="G2" s="9"/>
      <c r="H2" s="8"/>
    </row>
    <row r="3" spans="1:10" x14ac:dyDescent="0.25">
      <c r="A3" s="36"/>
      <c r="B3" s="37"/>
      <c r="C3" s="39"/>
      <c r="D3" s="17" t="str">
        <f>大中項目!B2</f>
        <v>JMS</v>
      </c>
      <c r="E3" s="17" t="str">
        <f ca="1">INDEX(大中項目!B:B, MATCH(E2, 大中項目!A:A, 0))</f>
        <v>メッセージ非同期受信</v>
      </c>
      <c r="F3" s="9"/>
      <c r="G3" s="9"/>
      <c r="H3" s="9"/>
    </row>
    <row r="4" spans="1:10" x14ac:dyDescent="0.25">
      <c r="A4" s="10"/>
      <c r="B4" s="10"/>
      <c r="C4" s="10"/>
      <c r="D4" s="10"/>
      <c r="E4" s="10"/>
      <c r="F4" s="10"/>
      <c r="G4" s="10"/>
      <c r="H4" s="10"/>
    </row>
    <row r="5" spans="1:10" x14ac:dyDescent="0.25">
      <c r="A5" s="40" t="s">
        <v>13</v>
      </c>
      <c r="B5" s="41"/>
      <c r="C5" s="41"/>
      <c r="D5" s="41"/>
      <c r="E5" s="41"/>
      <c r="F5" s="41"/>
      <c r="G5" s="41"/>
      <c r="H5" s="42"/>
    </row>
    <row r="6" spans="1:10" ht="42" customHeight="1" x14ac:dyDescent="0.25">
      <c r="A6" s="43" t="s">
        <v>14</v>
      </c>
      <c r="B6" s="44"/>
      <c r="C6" s="44"/>
      <c r="D6" s="44"/>
      <c r="E6" s="44"/>
      <c r="F6" s="44"/>
      <c r="G6" s="44"/>
      <c r="H6" s="45"/>
    </row>
    <row r="7" spans="1:10" x14ac:dyDescent="0.25">
      <c r="A7" s="10"/>
      <c r="B7" s="10"/>
      <c r="C7" s="10"/>
      <c r="D7" s="10"/>
      <c r="E7" s="10"/>
      <c r="F7" s="10"/>
      <c r="G7" s="10"/>
      <c r="H7" s="10"/>
    </row>
    <row r="8" spans="1:10" ht="25.5" x14ac:dyDescent="0.25">
      <c r="A8" s="6" t="s">
        <v>4</v>
      </c>
      <c r="B8" s="7" t="s">
        <v>21</v>
      </c>
      <c r="C8" s="6" t="s">
        <v>15</v>
      </c>
      <c r="D8" s="6" t="s">
        <v>16</v>
      </c>
      <c r="E8" s="6" t="s">
        <v>17</v>
      </c>
      <c r="F8" s="7" t="s">
        <v>24</v>
      </c>
      <c r="G8" s="7" t="s">
        <v>26</v>
      </c>
      <c r="H8" s="6" t="s">
        <v>18</v>
      </c>
      <c r="I8" s="6" t="s">
        <v>19</v>
      </c>
    </row>
    <row r="9" spans="1:10" ht="101.25" customHeight="1" x14ac:dyDescent="0.25">
      <c r="A9" s="30" t="s">
        <v>248</v>
      </c>
      <c r="B9" s="18">
        <f t="shared" ref="B9:B15" ca="1" si="0">IF(A9&lt;&gt;"",1,INDIRECT(ADDRESS(ROW(B9)-1,COLUMN(B9),4))+1)</f>
        <v>1</v>
      </c>
      <c r="C9" s="12" t="s">
        <v>22</v>
      </c>
      <c r="D9" s="28" t="s">
        <v>67</v>
      </c>
      <c r="E9" s="28" t="s">
        <v>69</v>
      </c>
      <c r="F9" s="13" t="s">
        <v>152</v>
      </c>
      <c r="G9" s="13" t="s">
        <v>85</v>
      </c>
      <c r="H9" s="13" t="s">
        <v>253</v>
      </c>
      <c r="I9" s="14"/>
      <c r="J9" s="21"/>
    </row>
    <row r="10" spans="1:10" ht="123.75" customHeight="1" x14ac:dyDescent="0.25">
      <c r="A10" s="30"/>
      <c r="B10" s="18">
        <f t="shared" ca="1" si="0"/>
        <v>2</v>
      </c>
      <c r="C10" s="12" t="s">
        <v>22</v>
      </c>
      <c r="D10" s="28" t="s">
        <v>73</v>
      </c>
      <c r="E10" s="28" t="s">
        <v>74</v>
      </c>
      <c r="F10" s="13" t="s">
        <v>212</v>
      </c>
      <c r="G10" s="13" t="s">
        <v>214</v>
      </c>
      <c r="H10" s="13" t="s">
        <v>110</v>
      </c>
      <c r="I10" s="14"/>
      <c r="J10" s="21"/>
    </row>
    <row r="11" spans="1:10" ht="123.75" customHeight="1" x14ac:dyDescent="0.25">
      <c r="A11" s="30"/>
      <c r="B11" s="18">
        <f t="shared" ca="1" si="0"/>
        <v>3</v>
      </c>
      <c r="C11" s="12" t="s">
        <v>22</v>
      </c>
      <c r="D11" s="28" t="s">
        <v>73</v>
      </c>
      <c r="E11" s="28" t="s">
        <v>74</v>
      </c>
      <c r="F11" s="13" t="s">
        <v>213</v>
      </c>
      <c r="G11" s="13" t="s">
        <v>214</v>
      </c>
      <c r="H11" s="13" t="s">
        <v>125</v>
      </c>
      <c r="I11" s="14"/>
      <c r="J11" s="21"/>
    </row>
    <row r="12" spans="1:10" ht="133.5" customHeight="1" x14ac:dyDescent="0.25">
      <c r="A12" s="30"/>
      <c r="B12" s="18">
        <f t="shared" ref="B12" ca="1" si="1">IF(A12&lt;&gt;"",1,INDIRECT(ADDRESS(ROW(B12)-1,COLUMN(B12),4))+1)</f>
        <v>4</v>
      </c>
      <c r="C12" s="12" t="s">
        <v>22</v>
      </c>
      <c r="D12" s="28" t="s">
        <v>209</v>
      </c>
      <c r="E12" s="28" t="s">
        <v>210</v>
      </c>
      <c r="F12" s="13" t="s">
        <v>255</v>
      </c>
      <c r="G12" s="13" t="s">
        <v>211</v>
      </c>
      <c r="H12" s="13" t="s">
        <v>252</v>
      </c>
      <c r="I12" s="14"/>
      <c r="J12" s="21"/>
    </row>
    <row r="13" spans="1:10" ht="140.25" customHeight="1" x14ac:dyDescent="0.25">
      <c r="A13" s="30" t="s">
        <v>249</v>
      </c>
      <c r="B13" s="18">
        <f t="shared" ca="1" si="0"/>
        <v>1</v>
      </c>
      <c r="C13" s="12" t="s">
        <v>22</v>
      </c>
      <c r="D13" s="28" t="s">
        <v>68</v>
      </c>
      <c r="E13" s="28" t="s">
        <v>70</v>
      </c>
      <c r="F13" s="13" t="s">
        <v>153</v>
      </c>
      <c r="G13" s="13" t="s">
        <v>85</v>
      </c>
      <c r="H13" s="13" t="s">
        <v>111</v>
      </c>
      <c r="I13" s="14"/>
      <c r="J13" s="21"/>
    </row>
    <row r="14" spans="1:10" ht="156.75" customHeight="1" x14ac:dyDescent="0.25">
      <c r="A14" s="30" t="s">
        <v>250</v>
      </c>
      <c r="B14" s="18">
        <f t="shared" ca="1" si="0"/>
        <v>1</v>
      </c>
      <c r="C14" s="12" t="s">
        <v>22</v>
      </c>
      <c r="D14" s="13" t="s">
        <v>190</v>
      </c>
      <c r="E14" s="28" t="s">
        <v>71</v>
      </c>
      <c r="F14" s="13" t="s">
        <v>160</v>
      </c>
      <c r="G14" s="13" t="s">
        <v>161</v>
      </c>
      <c r="H14" s="13" t="s">
        <v>112</v>
      </c>
      <c r="I14" s="14"/>
      <c r="J14" s="21"/>
    </row>
    <row r="15" spans="1:10" ht="152.25" customHeight="1" x14ac:dyDescent="0.25">
      <c r="A15" s="30"/>
      <c r="B15" s="18">
        <f t="shared" ca="1" si="0"/>
        <v>2</v>
      </c>
      <c r="C15" s="12" t="s">
        <v>22</v>
      </c>
      <c r="D15" s="13" t="s">
        <v>190</v>
      </c>
      <c r="E15" s="28" t="s">
        <v>71</v>
      </c>
      <c r="F15" s="13" t="s">
        <v>188</v>
      </c>
      <c r="G15" s="13" t="s">
        <v>162</v>
      </c>
      <c r="H15" s="13" t="s">
        <v>113</v>
      </c>
      <c r="I15" s="14"/>
      <c r="J15" s="21"/>
    </row>
    <row r="16" spans="1:10" ht="152.25" customHeight="1" x14ac:dyDescent="0.25">
      <c r="A16" s="30"/>
      <c r="B16" s="18">
        <f t="shared" ref="B16" ca="1" si="2">IF(A16&lt;&gt;"",1,INDIRECT(ADDRESS(ROW(B16)-1,COLUMN(B16),4))+1)</f>
        <v>3</v>
      </c>
      <c r="C16" s="12" t="s">
        <v>22</v>
      </c>
      <c r="D16" s="13" t="s">
        <v>190</v>
      </c>
      <c r="E16" s="28" t="s">
        <v>187</v>
      </c>
      <c r="F16" s="13" t="s">
        <v>191</v>
      </c>
      <c r="G16" s="13" t="s">
        <v>189</v>
      </c>
      <c r="H16" s="13" t="s">
        <v>112</v>
      </c>
      <c r="I16" s="14"/>
      <c r="J16" s="21"/>
    </row>
    <row r="17" spans="1:9" ht="76.5" x14ac:dyDescent="0.25">
      <c r="A17" s="30" t="s">
        <v>251</v>
      </c>
      <c r="B17" s="18">
        <f t="shared" ref="B17:B18" ca="1" si="3">IF(A17&lt;&gt;"",1,INDIRECT(ADDRESS(ROW(B17)-1,COLUMN(B17),4))+1)</f>
        <v>1</v>
      </c>
      <c r="C17" s="12" t="s">
        <v>22</v>
      </c>
      <c r="D17" s="13" t="s">
        <v>185</v>
      </c>
      <c r="E17" s="28" t="s">
        <v>186</v>
      </c>
      <c r="F17" s="13" t="s">
        <v>178</v>
      </c>
      <c r="G17" s="13" t="s">
        <v>177</v>
      </c>
      <c r="H17" s="13" t="s">
        <v>176</v>
      </c>
      <c r="I17" s="14"/>
    </row>
    <row r="18" spans="1:9" ht="76.5" x14ac:dyDescent="0.25">
      <c r="A18" s="31"/>
      <c r="B18" s="18">
        <f t="shared" ca="1" si="3"/>
        <v>2</v>
      </c>
      <c r="C18" s="12" t="s">
        <v>22</v>
      </c>
      <c r="D18" s="13" t="s">
        <v>185</v>
      </c>
      <c r="E18" s="28" t="s">
        <v>186</v>
      </c>
      <c r="F18" s="13" t="s">
        <v>179</v>
      </c>
      <c r="G18" s="13" t="s">
        <v>177</v>
      </c>
      <c r="H18" s="13" t="s">
        <v>180</v>
      </c>
      <c r="I18" s="14"/>
    </row>
  </sheetData>
  <mergeCells count="5">
    <mergeCell ref="A1:B1"/>
    <mergeCell ref="A2:B3"/>
    <mergeCell ref="C2:C3"/>
    <mergeCell ref="A5:H5"/>
    <mergeCell ref="A6:H6"/>
  </mergeCells>
  <phoneticPr fontId="2"/>
  <conditionalFormatting sqref="A9:B18">
    <cfRule type="expression" dxfId="5" priority="1">
      <formula>A9&lt;&gt;""</formula>
    </cfRule>
  </conditionalFormatting>
  <dataValidations count="2">
    <dataValidation type="list" allowBlank="1" showInputMessage="1" showErrorMessage="1" sqref="C9:C18" xr:uid="{00000000-0002-0000-0400-000000000000}">
      <formula1>"正常,クライアントエラー,サーバーエラー"</formula1>
    </dataValidation>
    <dataValidation type="list" allowBlank="1" showInputMessage="1" showErrorMessage="1" sqref="I9:I18" xr:uid="{00000000-0002-0000-0400-000001000000}">
      <formula1>"Selenium:○,Seleniumu:△,Selenium:×,JUnit:○,JUnit:△,Junit:×,手動実行,机上"</formula1>
    </dataValidation>
  </dataValidations>
  <hyperlinks>
    <hyperlink ref="A2" location="大中項目!A1" display="目次へ" xr:uid="{00000000-0004-0000-0400-000000000000}"/>
  </hyperlinks>
  <pageMargins left="0.39370078740157483" right="0.39370078740157483" top="0.59055118110236227" bottom="0.59055118110236227" header="0.31496062992125984" footer="0.31496062992125984"/>
  <pageSetup paperSize="9" scale="70" fitToHeight="0" orientation="landscape"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9"/>
  <sheetViews>
    <sheetView zoomScaleNormal="100" workbookViewId="0">
      <pane ySplit="8" topLeftCell="A9" activePane="bottomLeft" state="frozen"/>
      <selection activeCell="A5" sqref="A5"/>
      <selection pane="bottomLeft" activeCell="A9" sqref="A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6" width="41.73046875" customWidth="1"/>
    <col min="7" max="7" width="42" customWidth="1"/>
    <col min="8" max="8" width="43.46484375" customWidth="1"/>
    <col min="9" max="9" width="19.265625" customWidth="1"/>
    <col min="10" max="10" width="33" customWidth="1"/>
  </cols>
  <sheetData>
    <row r="1" spans="1:9" ht="25.5" x14ac:dyDescent="0.25">
      <c r="A1" s="32" t="s">
        <v>6</v>
      </c>
      <c r="B1" s="33"/>
      <c r="C1" s="6" t="s">
        <v>7</v>
      </c>
      <c r="D1" s="6" t="s">
        <v>8</v>
      </c>
      <c r="E1" s="6" t="s">
        <v>9</v>
      </c>
      <c r="F1" s="6" t="s">
        <v>10</v>
      </c>
      <c r="G1" s="6" t="s">
        <v>11</v>
      </c>
      <c r="H1" s="7" t="s">
        <v>12</v>
      </c>
    </row>
    <row r="2" spans="1:9" x14ac:dyDescent="0.25">
      <c r="A2" s="34" t="s">
        <v>20</v>
      </c>
      <c r="B2" s="35"/>
      <c r="C2" s="38">
        <f ca="1">COUNTIFS($B$9:$B$65495,"&lt;&gt;",$J$9:$J$65495,"&lt;&gt;論理削除")</f>
        <v>1</v>
      </c>
      <c r="D2" s="17" t="str">
        <f>大中項目!B1</f>
        <v>JMSS</v>
      </c>
      <c r="E2" s="17" t="str" cm="1">
        <f t="array" aca="1" ref="E2" ca="1">MID(CELL("filename", A1), FIND("]", CELL("filename", A1)) + 1, 255)</f>
        <v>JMSS05</v>
      </c>
      <c r="F2" s="9"/>
      <c r="G2" s="9"/>
      <c r="H2" s="8"/>
    </row>
    <row r="3" spans="1:9" x14ac:dyDescent="0.25">
      <c r="A3" s="36"/>
      <c r="B3" s="37"/>
      <c r="C3" s="39"/>
      <c r="D3" s="17" t="str">
        <f>大中項目!B2</f>
        <v>JMS</v>
      </c>
      <c r="E3" s="17" t="str">
        <f ca="1">INDEX(大中項目!B:B, MATCH(E2, 大中項目!A:A, 0))</f>
        <v>メッセージの同期受信</v>
      </c>
      <c r="F3" s="9"/>
      <c r="G3" s="9"/>
      <c r="H3" s="9"/>
    </row>
    <row r="4" spans="1:9" x14ac:dyDescent="0.25">
      <c r="A4" s="10"/>
      <c r="B4" s="10"/>
      <c r="C4" s="10"/>
      <c r="D4" s="10"/>
      <c r="E4" s="10"/>
      <c r="F4" s="10"/>
      <c r="G4" s="10"/>
      <c r="H4" s="10"/>
    </row>
    <row r="5" spans="1:9" x14ac:dyDescent="0.25">
      <c r="A5" s="40" t="s">
        <v>13</v>
      </c>
      <c r="B5" s="41"/>
      <c r="C5" s="41"/>
      <c r="D5" s="41"/>
      <c r="E5" s="41"/>
      <c r="F5" s="41"/>
      <c r="G5" s="41"/>
      <c r="H5" s="42"/>
    </row>
    <row r="6" spans="1:9" ht="42" customHeight="1" x14ac:dyDescent="0.25">
      <c r="A6" s="43" t="s">
        <v>14</v>
      </c>
      <c r="B6" s="44"/>
      <c r="C6" s="44"/>
      <c r="D6" s="44"/>
      <c r="E6" s="44"/>
      <c r="F6" s="44"/>
      <c r="G6" s="44"/>
      <c r="H6" s="45"/>
    </row>
    <row r="7" spans="1:9" x14ac:dyDescent="0.25">
      <c r="A7" s="10"/>
      <c r="B7" s="10"/>
      <c r="C7" s="10"/>
      <c r="D7" s="10"/>
      <c r="E7" s="10"/>
      <c r="F7" s="10"/>
      <c r="G7" s="10"/>
      <c r="H7" s="10"/>
    </row>
    <row r="8" spans="1:9" ht="25.5" x14ac:dyDescent="0.25">
      <c r="A8" s="6" t="s">
        <v>4</v>
      </c>
      <c r="B8" s="7" t="s">
        <v>21</v>
      </c>
      <c r="C8" s="6" t="s">
        <v>15</v>
      </c>
      <c r="D8" s="6" t="s">
        <v>16</v>
      </c>
      <c r="E8" s="6" t="s">
        <v>17</v>
      </c>
      <c r="F8" s="7" t="s">
        <v>24</v>
      </c>
      <c r="G8" s="7" t="s">
        <v>23</v>
      </c>
      <c r="H8" s="6" t="s">
        <v>18</v>
      </c>
      <c r="I8" s="6" t="s">
        <v>19</v>
      </c>
    </row>
    <row r="9" spans="1:9" ht="94.5" customHeight="1" x14ac:dyDescent="0.25">
      <c r="A9" s="22" t="str">
        <f>大中項目!C17</f>
        <v>JMSS0501</v>
      </c>
      <c r="B9" s="18">
        <f ca="1">IF(A9&lt;&gt;"",1,INDIRECT(ADDRESS(ROW(B9)-1,COLUMN(B9),4))+1)</f>
        <v>1</v>
      </c>
      <c r="C9" s="12" t="s">
        <v>22</v>
      </c>
      <c r="D9" s="13" t="s">
        <v>72</v>
      </c>
      <c r="E9" s="13" t="s">
        <v>75</v>
      </c>
      <c r="F9" s="13" t="s">
        <v>154</v>
      </c>
      <c r="G9" s="13" t="s">
        <v>114</v>
      </c>
      <c r="H9" s="13" t="s">
        <v>127</v>
      </c>
      <c r="I9" s="14"/>
    </row>
  </sheetData>
  <mergeCells count="5">
    <mergeCell ref="A1:B1"/>
    <mergeCell ref="A2:B3"/>
    <mergeCell ref="C2:C3"/>
    <mergeCell ref="A5:H5"/>
    <mergeCell ref="A6:H6"/>
  </mergeCells>
  <phoneticPr fontId="2"/>
  <conditionalFormatting sqref="B9">
    <cfRule type="expression" dxfId="4" priority="5">
      <formula>B9&lt;&gt;""</formula>
    </cfRule>
  </conditionalFormatting>
  <dataValidations count="2">
    <dataValidation type="list" allowBlank="1" showInputMessage="1" showErrorMessage="1" sqref="C9" xr:uid="{00000000-0002-0000-0500-000000000000}">
      <formula1>"正常,クライアントエラー,サーバーエラー"</formula1>
    </dataValidation>
    <dataValidation type="list" allowBlank="1" showInputMessage="1" showErrorMessage="1" sqref="I9" xr:uid="{00000000-0002-0000-0500-000001000000}">
      <formula1>"Selenium:○,Seleniumu:△,Selenium:×,JUnit:○,JUnit:△,Junit:×,手動実行,机上"</formula1>
    </dataValidation>
  </dataValidations>
  <hyperlinks>
    <hyperlink ref="A2" location="大中項目!A1" display="目次へ" xr:uid="{00000000-0004-0000-0500-000000000000}"/>
  </hyperlinks>
  <pageMargins left="0.39370078740157483" right="0.39370078740157483" top="0.59055118110236227" bottom="0.59055118110236227" header="0.31496062992125984" footer="0.31496062992125984"/>
  <pageSetup paperSize="9" scale="70" fitToHeight="0" orientation="landscape"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18"/>
  <sheetViews>
    <sheetView zoomScaleNormal="100" workbookViewId="0">
      <pane ySplit="8" topLeftCell="A9" activePane="bottomLeft" state="frozen"/>
      <selection activeCell="A5" sqref="A5"/>
      <selection pane="bottomLeft" activeCell="A9" sqref="A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6" width="41.73046875" customWidth="1"/>
    <col min="7" max="7" width="42" customWidth="1"/>
    <col min="8" max="8" width="44.3984375" customWidth="1"/>
    <col min="9" max="9" width="19.1328125" customWidth="1"/>
    <col min="10" max="10" width="34.1328125" customWidth="1"/>
  </cols>
  <sheetData>
    <row r="1" spans="1:10" ht="25.5" x14ac:dyDescent="0.25">
      <c r="A1" s="32" t="s">
        <v>6</v>
      </c>
      <c r="B1" s="33"/>
      <c r="C1" s="6" t="s">
        <v>7</v>
      </c>
      <c r="D1" s="6" t="s">
        <v>8</v>
      </c>
      <c r="E1" s="6" t="s">
        <v>9</v>
      </c>
      <c r="F1" s="6" t="s">
        <v>10</v>
      </c>
      <c r="G1" s="6" t="s">
        <v>11</v>
      </c>
      <c r="H1" s="7" t="s">
        <v>12</v>
      </c>
    </row>
    <row r="2" spans="1:10" x14ac:dyDescent="0.25">
      <c r="A2" s="34" t="s">
        <v>20</v>
      </c>
      <c r="B2" s="35"/>
      <c r="C2" s="38">
        <f ca="1">COUNTIFS($B$9:$B$65495,"&lt;&gt;",$J$9:$J$65495,"&lt;&gt;論理削除")</f>
        <v>10</v>
      </c>
      <c r="D2" s="17" t="str">
        <f>大中項目!B1</f>
        <v>JMSS</v>
      </c>
      <c r="E2" s="17" t="str" cm="1">
        <f t="array" aca="1" ref="E2" ca="1">MID(CELL("filename", A1), FIND("]", CELL("filename", A1)) + 1, 255)</f>
        <v>JMSS06</v>
      </c>
      <c r="F2" s="9"/>
      <c r="G2" s="9"/>
      <c r="H2" s="8"/>
    </row>
    <row r="3" spans="1:10" x14ac:dyDescent="0.25">
      <c r="A3" s="36"/>
      <c r="B3" s="37"/>
      <c r="C3" s="39"/>
      <c r="D3" s="17" t="str">
        <f>大中項目!B2</f>
        <v>JMS</v>
      </c>
      <c r="E3" s="17" t="str">
        <f ca="1">INDEX(大中項目!B:B, MATCH(E2, 大中項目!A:A, 0))</f>
        <v>トランザクション管理</v>
      </c>
      <c r="F3" s="9"/>
      <c r="G3" s="9"/>
      <c r="H3" s="9"/>
    </row>
    <row r="4" spans="1:10" x14ac:dyDescent="0.25">
      <c r="A4" s="10"/>
      <c r="B4" s="10"/>
      <c r="C4" s="10"/>
      <c r="D4" s="10"/>
      <c r="E4" s="10"/>
      <c r="F4" s="10"/>
      <c r="G4" s="10"/>
      <c r="H4" s="10"/>
    </row>
    <row r="5" spans="1:10" x14ac:dyDescent="0.25">
      <c r="A5" s="40" t="s">
        <v>13</v>
      </c>
      <c r="B5" s="41"/>
      <c r="C5" s="41"/>
      <c r="D5" s="41"/>
      <c r="E5" s="41"/>
      <c r="F5" s="41"/>
      <c r="G5" s="41"/>
      <c r="H5" s="42"/>
    </row>
    <row r="6" spans="1:10" ht="42" customHeight="1" x14ac:dyDescent="0.25">
      <c r="A6" s="43" t="s">
        <v>14</v>
      </c>
      <c r="B6" s="44"/>
      <c r="C6" s="44"/>
      <c r="D6" s="44"/>
      <c r="E6" s="44"/>
      <c r="F6" s="44"/>
      <c r="G6" s="44"/>
      <c r="H6" s="45"/>
    </row>
    <row r="7" spans="1:10" x14ac:dyDescent="0.25">
      <c r="A7" s="10"/>
      <c r="B7" s="10"/>
      <c r="C7" s="10"/>
      <c r="D7" s="10"/>
      <c r="E7" s="10"/>
      <c r="F7" s="10"/>
      <c r="G7" s="10"/>
      <c r="H7" s="10"/>
    </row>
    <row r="8" spans="1:10" ht="25.5" x14ac:dyDescent="0.25">
      <c r="A8" s="6" t="s">
        <v>4</v>
      </c>
      <c r="B8" s="7" t="s">
        <v>21</v>
      </c>
      <c r="C8" s="6" t="s">
        <v>15</v>
      </c>
      <c r="D8" s="6" t="s">
        <v>16</v>
      </c>
      <c r="E8" s="6" t="s">
        <v>17</v>
      </c>
      <c r="F8" s="7" t="s">
        <v>24</v>
      </c>
      <c r="G8" s="7" t="s">
        <v>26</v>
      </c>
      <c r="H8" s="6" t="s">
        <v>18</v>
      </c>
      <c r="I8" s="6" t="s">
        <v>19</v>
      </c>
    </row>
    <row r="9" spans="1:10" ht="104.25" customHeight="1" x14ac:dyDescent="0.25">
      <c r="A9" s="11" t="s">
        <v>231</v>
      </c>
      <c r="B9" s="18">
        <f t="shared" ref="B9:B16" ca="1" si="0">IF(A9&lt;&gt;"",1,INDIRECT(ADDRESS(ROW(B9)-1,COLUMN(B9),4))+1)</f>
        <v>1</v>
      </c>
      <c r="C9" s="12" t="s">
        <v>128</v>
      </c>
      <c r="D9" s="28" t="s">
        <v>76</v>
      </c>
      <c r="E9" s="28" t="s">
        <v>129</v>
      </c>
      <c r="F9" s="13" t="s">
        <v>142</v>
      </c>
      <c r="G9" s="13" t="s">
        <v>86</v>
      </c>
      <c r="H9" s="13" t="s">
        <v>130</v>
      </c>
      <c r="I9" s="14"/>
      <c r="J9" s="21"/>
    </row>
    <row r="10" spans="1:10" ht="132" customHeight="1" x14ac:dyDescent="0.25">
      <c r="A10" s="11"/>
      <c r="B10" s="18">
        <f t="shared" ca="1" si="0"/>
        <v>2</v>
      </c>
      <c r="C10" s="12" t="s">
        <v>126</v>
      </c>
      <c r="D10" s="28" t="s">
        <v>76</v>
      </c>
      <c r="E10" s="28" t="s">
        <v>121</v>
      </c>
      <c r="F10" s="13" t="s">
        <v>143</v>
      </c>
      <c r="G10" s="13" t="s">
        <v>86</v>
      </c>
      <c r="H10" s="13" t="s">
        <v>119</v>
      </c>
      <c r="I10" s="14"/>
      <c r="J10" s="21"/>
    </row>
    <row r="11" spans="1:10" ht="90.75" customHeight="1" x14ac:dyDescent="0.25">
      <c r="A11" s="11" t="s">
        <v>232</v>
      </c>
      <c r="B11" s="18">
        <f t="shared" ca="1" si="0"/>
        <v>1</v>
      </c>
      <c r="C11" s="12" t="s">
        <v>128</v>
      </c>
      <c r="D11" s="28" t="s">
        <v>215</v>
      </c>
      <c r="E11" s="28" t="s">
        <v>131</v>
      </c>
      <c r="F11" s="13" t="s">
        <v>144</v>
      </c>
      <c r="G11" s="13" t="s">
        <v>117</v>
      </c>
      <c r="H11" s="13" t="s">
        <v>130</v>
      </c>
      <c r="I11" s="14"/>
      <c r="J11" s="21"/>
    </row>
    <row r="12" spans="1:10" ht="120" customHeight="1" x14ac:dyDescent="0.25">
      <c r="A12" s="11"/>
      <c r="B12" s="18">
        <f t="shared" ca="1" si="0"/>
        <v>2</v>
      </c>
      <c r="C12" s="12" t="s">
        <v>126</v>
      </c>
      <c r="D12" s="28" t="s">
        <v>215</v>
      </c>
      <c r="E12" s="28" t="s">
        <v>120</v>
      </c>
      <c r="F12" s="13" t="s">
        <v>145</v>
      </c>
      <c r="G12" s="13" t="s">
        <v>117</v>
      </c>
      <c r="H12" s="13" t="s">
        <v>118</v>
      </c>
      <c r="I12" s="14"/>
      <c r="J12" s="21"/>
    </row>
    <row r="13" spans="1:10" ht="120" customHeight="1" x14ac:dyDescent="0.25">
      <c r="A13" s="11" t="s">
        <v>233</v>
      </c>
      <c r="B13" s="18">
        <f t="shared" ca="1" si="0"/>
        <v>1</v>
      </c>
      <c r="C13" s="12" t="s">
        <v>22</v>
      </c>
      <c r="D13" s="28" t="s">
        <v>216</v>
      </c>
      <c r="E13" s="28" t="s">
        <v>217</v>
      </c>
      <c r="F13" s="13" t="s">
        <v>218</v>
      </c>
      <c r="G13" s="28" t="s">
        <v>219</v>
      </c>
      <c r="H13" s="13" t="s">
        <v>130</v>
      </c>
      <c r="I13" s="14"/>
      <c r="J13" s="21"/>
    </row>
    <row r="14" spans="1:10" ht="157.5" customHeight="1" x14ac:dyDescent="0.25">
      <c r="A14" s="11"/>
      <c r="B14" s="18">
        <f t="shared" ca="1" si="0"/>
        <v>2</v>
      </c>
      <c r="C14" s="12" t="s">
        <v>126</v>
      </c>
      <c r="D14" s="28" t="s">
        <v>220</v>
      </c>
      <c r="E14" s="28" t="s">
        <v>221</v>
      </c>
      <c r="F14" s="13" t="s">
        <v>222</v>
      </c>
      <c r="G14" s="28" t="s">
        <v>219</v>
      </c>
      <c r="H14" s="13" t="s">
        <v>223</v>
      </c>
      <c r="I14" s="14"/>
      <c r="J14" s="21"/>
    </row>
    <row r="15" spans="1:10" ht="126" customHeight="1" x14ac:dyDescent="0.25">
      <c r="A15" s="22" t="s">
        <v>234</v>
      </c>
      <c r="B15" s="18">
        <f t="shared" ca="1" si="0"/>
        <v>1</v>
      </c>
      <c r="C15" s="12" t="s">
        <v>128</v>
      </c>
      <c r="D15" s="13" t="s">
        <v>192</v>
      </c>
      <c r="E15" s="28" t="s">
        <v>90</v>
      </c>
      <c r="F15" s="13" t="s">
        <v>140</v>
      </c>
      <c r="G15" s="13" t="s">
        <v>86</v>
      </c>
      <c r="H15" s="13" t="s">
        <v>132</v>
      </c>
      <c r="I15" s="14"/>
      <c r="J15" s="21"/>
    </row>
    <row r="16" spans="1:10" ht="126" customHeight="1" x14ac:dyDescent="0.25">
      <c r="A16" s="22"/>
      <c r="B16" s="18">
        <f t="shared" ca="1" si="0"/>
        <v>2</v>
      </c>
      <c r="C16" s="12" t="s">
        <v>126</v>
      </c>
      <c r="D16" s="13" t="s">
        <v>192</v>
      </c>
      <c r="E16" s="28" t="s">
        <v>90</v>
      </c>
      <c r="F16" s="13" t="s">
        <v>141</v>
      </c>
      <c r="G16" s="13" t="s">
        <v>86</v>
      </c>
      <c r="H16" s="13" t="s">
        <v>193</v>
      </c>
      <c r="I16" s="14"/>
      <c r="J16" s="21"/>
    </row>
    <row r="17" spans="1:10" ht="237.75" customHeight="1" x14ac:dyDescent="0.25">
      <c r="A17" s="22"/>
      <c r="B17" s="18">
        <v>5</v>
      </c>
      <c r="C17" s="12" t="s">
        <v>128</v>
      </c>
      <c r="D17" s="13" t="s">
        <v>194</v>
      </c>
      <c r="E17" s="28" t="s">
        <v>224</v>
      </c>
      <c r="F17" s="13" t="s">
        <v>226</v>
      </c>
      <c r="G17" s="13" t="s">
        <v>86</v>
      </c>
      <c r="H17" s="13" t="s">
        <v>132</v>
      </c>
      <c r="I17" s="14"/>
      <c r="J17" s="21"/>
    </row>
    <row r="18" spans="1:10" ht="262.5" customHeight="1" x14ac:dyDescent="0.25">
      <c r="A18" s="22"/>
      <c r="B18" s="18">
        <v>6</v>
      </c>
      <c r="C18" s="12" t="s">
        <v>126</v>
      </c>
      <c r="D18" s="13" t="s">
        <v>194</v>
      </c>
      <c r="E18" s="28" t="s">
        <v>224</v>
      </c>
      <c r="F18" s="13" t="s">
        <v>227</v>
      </c>
      <c r="G18" s="13" t="s">
        <v>86</v>
      </c>
      <c r="H18" s="13" t="s">
        <v>225</v>
      </c>
      <c r="I18" s="14"/>
      <c r="J18" s="21"/>
    </row>
  </sheetData>
  <mergeCells count="5">
    <mergeCell ref="A1:B1"/>
    <mergeCell ref="A2:B3"/>
    <mergeCell ref="C2:C3"/>
    <mergeCell ref="A5:H5"/>
    <mergeCell ref="A6:H6"/>
  </mergeCells>
  <phoneticPr fontId="2"/>
  <conditionalFormatting sqref="B9:B18">
    <cfRule type="expression" dxfId="3" priority="1">
      <formula>B9&lt;&gt;""</formula>
    </cfRule>
  </conditionalFormatting>
  <dataValidations count="2">
    <dataValidation type="list" allowBlank="1" showInputMessage="1" showErrorMessage="1" sqref="I9:I18" xr:uid="{00000000-0002-0000-0600-000000000000}">
      <formula1>"Selenium:○,Seleniumu:△,Selenium:×,JUnit:○,JUnit:△,Junit:×,手動実行,机上"</formula1>
    </dataValidation>
    <dataValidation type="list" allowBlank="1" showInputMessage="1" showErrorMessage="1" sqref="C9:C18" xr:uid="{00000000-0002-0000-0600-000001000000}">
      <formula1>"正常,クライアントエラー,サーバーエラー"</formula1>
    </dataValidation>
  </dataValidations>
  <hyperlinks>
    <hyperlink ref="A2" location="大中項目!A1" display="目次へ" xr:uid="{00000000-0004-0000-0600-000000000000}"/>
  </hyperlinks>
  <pageMargins left="0.39370078740157483" right="0.39370078740157483" top="0.59055118110236227" bottom="0.59055118110236227" header="0.31496062992125984" footer="0.31496062992125984"/>
  <pageSetup paperSize="9" scale="70" fitToHeight="0" orientation="landscape"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16"/>
  <sheetViews>
    <sheetView zoomScaleNormal="100" workbookViewId="0">
      <pane xSplit="2" ySplit="8" topLeftCell="C9" activePane="bottomRight" state="frozen"/>
      <selection activeCell="A5" sqref="A5"/>
      <selection pane="topRight" activeCell="A5" sqref="A5"/>
      <selection pane="bottomLeft" activeCell="A5" sqref="A5"/>
      <selection pane="bottomRight" activeCell="C9" sqref="C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6" width="41.73046875" customWidth="1"/>
    <col min="7" max="7" width="42" customWidth="1"/>
    <col min="8" max="8" width="43.46484375" customWidth="1"/>
    <col min="9" max="9" width="19.265625" customWidth="1"/>
    <col min="10" max="10" width="33" customWidth="1"/>
  </cols>
  <sheetData>
    <row r="1" spans="1:10" ht="25.5" x14ac:dyDescent="0.25">
      <c r="A1" s="32" t="s">
        <v>6</v>
      </c>
      <c r="B1" s="33"/>
      <c r="C1" s="6" t="s">
        <v>7</v>
      </c>
      <c r="D1" s="6" t="s">
        <v>8</v>
      </c>
      <c r="E1" s="6" t="s">
        <v>9</v>
      </c>
      <c r="F1" s="6" t="s">
        <v>10</v>
      </c>
      <c r="G1" s="6" t="s">
        <v>11</v>
      </c>
      <c r="H1" s="7" t="s">
        <v>12</v>
      </c>
    </row>
    <row r="2" spans="1:10" x14ac:dyDescent="0.25">
      <c r="A2" s="34" t="s">
        <v>20</v>
      </c>
      <c r="B2" s="35"/>
      <c r="C2" s="38">
        <f ca="1">COUNTIFS($B$9:$B$65495,"&lt;&gt;",$J$9:$J$65495,"&lt;&gt;論理削除")</f>
        <v>8</v>
      </c>
      <c r="D2" s="17" t="str">
        <f>大中項目!B1</f>
        <v>JMSS</v>
      </c>
      <c r="E2" s="17" t="str" cm="1">
        <f t="array" aca="1" ref="E2" ca="1">MID(CELL("filename", A1), FIND("]", CELL("filename", A1)) + 1, 255)</f>
        <v>JMSS07</v>
      </c>
      <c r="F2" s="9"/>
      <c r="G2" s="9"/>
      <c r="H2" s="8"/>
    </row>
    <row r="3" spans="1:10" x14ac:dyDescent="0.25">
      <c r="A3" s="36"/>
      <c r="B3" s="37"/>
      <c r="C3" s="39"/>
      <c r="D3" s="17" t="str">
        <f>大中項目!B2</f>
        <v>JMS</v>
      </c>
      <c r="E3" s="17" t="str">
        <f ca="1">INDEX(大中項目!B:B, MATCH(E2, 大中項目!A:A, 0))</f>
        <v>受信データの入力チェック</v>
      </c>
      <c r="F3" s="9"/>
      <c r="G3" s="9"/>
      <c r="H3" s="9"/>
    </row>
    <row r="4" spans="1:10" x14ac:dyDescent="0.25">
      <c r="A4" s="10"/>
      <c r="B4" s="10"/>
      <c r="C4" s="10"/>
      <c r="D4" s="10"/>
      <c r="E4" s="10"/>
      <c r="F4" s="10"/>
      <c r="G4" s="10"/>
      <c r="H4" s="10"/>
    </row>
    <row r="5" spans="1:10" x14ac:dyDescent="0.25">
      <c r="A5" s="40" t="s">
        <v>13</v>
      </c>
      <c r="B5" s="41"/>
      <c r="C5" s="41"/>
      <c r="D5" s="41"/>
      <c r="E5" s="41"/>
      <c r="F5" s="41"/>
      <c r="G5" s="41"/>
      <c r="H5" s="42"/>
    </row>
    <row r="6" spans="1:10" ht="42" customHeight="1" x14ac:dyDescent="0.25">
      <c r="A6" s="43" t="s">
        <v>14</v>
      </c>
      <c r="B6" s="44"/>
      <c r="C6" s="44"/>
      <c r="D6" s="44"/>
      <c r="E6" s="44"/>
      <c r="F6" s="44"/>
      <c r="G6" s="44"/>
      <c r="H6" s="45"/>
    </row>
    <row r="7" spans="1:10" x14ac:dyDescent="0.25">
      <c r="A7" s="10"/>
      <c r="B7" s="10"/>
      <c r="C7" s="10"/>
      <c r="D7" s="10"/>
      <c r="E7" s="10"/>
      <c r="F7" s="10"/>
      <c r="G7" s="10"/>
      <c r="H7" s="10"/>
    </row>
    <row r="8" spans="1:10" ht="25.5" x14ac:dyDescent="0.25">
      <c r="A8" s="6" t="s">
        <v>4</v>
      </c>
      <c r="B8" s="7" t="s">
        <v>21</v>
      </c>
      <c r="C8" s="6" t="s">
        <v>15</v>
      </c>
      <c r="D8" s="6" t="s">
        <v>16</v>
      </c>
      <c r="E8" s="6" t="s">
        <v>17</v>
      </c>
      <c r="F8" s="7" t="s">
        <v>24</v>
      </c>
      <c r="G8" s="7" t="s">
        <v>23</v>
      </c>
      <c r="H8" s="6" t="s">
        <v>18</v>
      </c>
      <c r="I8" s="6" t="s">
        <v>19</v>
      </c>
    </row>
    <row r="9" spans="1:10" ht="113.25" customHeight="1" x14ac:dyDescent="0.25">
      <c r="A9" s="22" t="str">
        <f>大中項目!C22</f>
        <v>JMSS0701</v>
      </c>
      <c r="B9" s="18">
        <f t="shared" ref="B9:B15" ca="1" si="0">IF(A9&lt;&gt;"",1,INDIRECT(ADDRESS(ROW(B9)-1,COLUMN(B9),4))+1)</f>
        <v>1</v>
      </c>
      <c r="C9" s="12" t="s">
        <v>22</v>
      </c>
      <c r="D9" s="13" t="s">
        <v>77</v>
      </c>
      <c r="E9" s="13" t="s">
        <v>78</v>
      </c>
      <c r="F9" s="13" t="s">
        <v>146</v>
      </c>
      <c r="G9" s="13" t="s">
        <v>155</v>
      </c>
      <c r="H9" s="13" t="s">
        <v>127</v>
      </c>
      <c r="I9" s="14"/>
    </row>
    <row r="10" spans="1:10" ht="113.25" customHeight="1" x14ac:dyDescent="0.25">
      <c r="A10" s="22"/>
      <c r="B10" s="18">
        <f t="shared" ca="1" si="0"/>
        <v>2</v>
      </c>
      <c r="C10" s="12" t="s">
        <v>126</v>
      </c>
      <c r="D10" s="13" t="s">
        <v>77</v>
      </c>
      <c r="E10" s="13" t="s">
        <v>78</v>
      </c>
      <c r="F10" s="13" t="s">
        <v>156</v>
      </c>
      <c r="G10" s="13" t="s">
        <v>158</v>
      </c>
      <c r="H10" s="13" t="s">
        <v>159</v>
      </c>
      <c r="I10" s="14"/>
      <c r="J10" t="s">
        <v>117</v>
      </c>
    </row>
    <row r="11" spans="1:10" ht="102" x14ac:dyDescent="0.25">
      <c r="A11" s="22"/>
      <c r="B11" s="18">
        <f t="shared" ca="1" si="0"/>
        <v>3</v>
      </c>
      <c r="C11" s="12" t="s">
        <v>163</v>
      </c>
      <c r="D11" s="13" t="s">
        <v>77</v>
      </c>
      <c r="E11" s="13" t="s">
        <v>168</v>
      </c>
      <c r="F11" s="13" t="s">
        <v>165</v>
      </c>
      <c r="G11" s="13" t="s">
        <v>166</v>
      </c>
      <c r="H11" s="13" t="s">
        <v>170</v>
      </c>
      <c r="I11" s="14"/>
    </row>
    <row r="12" spans="1:10" ht="102" x14ac:dyDescent="0.25">
      <c r="A12" s="22"/>
      <c r="B12" s="18">
        <f t="shared" ca="1" si="0"/>
        <v>4</v>
      </c>
      <c r="C12" s="12" t="s">
        <v>163</v>
      </c>
      <c r="D12" s="13" t="s">
        <v>77</v>
      </c>
      <c r="E12" s="13" t="s">
        <v>168</v>
      </c>
      <c r="F12" s="13" t="s">
        <v>167</v>
      </c>
      <c r="G12" s="13" t="s">
        <v>158</v>
      </c>
      <c r="H12" s="13" t="s">
        <v>169</v>
      </c>
      <c r="I12" s="14"/>
    </row>
    <row r="13" spans="1:10" ht="102" x14ac:dyDescent="0.25">
      <c r="A13" s="22"/>
      <c r="B13" s="18">
        <f t="shared" ca="1" si="0"/>
        <v>5</v>
      </c>
      <c r="C13" s="12" t="s">
        <v>163</v>
      </c>
      <c r="D13" s="13" t="s">
        <v>77</v>
      </c>
      <c r="E13" s="13" t="s">
        <v>78</v>
      </c>
      <c r="F13" s="13" t="s">
        <v>171</v>
      </c>
      <c r="G13" s="13" t="s">
        <v>158</v>
      </c>
      <c r="H13" s="13" t="s">
        <v>172</v>
      </c>
      <c r="I13" s="14"/>
    </row>
    <row r="14" spans="1:10" ht="153" x14ac:dyDescent="0.25">
      <c r="A14" s="22"/>
      <c r="B14" s="18">
        <f t="shared" ca="1" si="0"/>
        <v>6</v>
      </c>
      <c r="C14" s="12" t="s">
        <v>22</v>
      </c>
      <c r="D14" s="13" t="s">
        <v>77</v>
      </c>
      <c r="E14" s="13" t="s">
        <v>164</v>
      </c>
      <c r="F14" s="13" t="s">
        <v>174</v>
      </c>
      <c r="G14" s="13" t="s">
        <v>158</v>
      </c>
      <c r="H14" s="13" t="s">
        <v>173</v>
      </c>
      <c r="I14" s="14"/>
    </row>
    <row r="15" spans="1:10" ht="242.25" x14ac:dyDescent="0.25">
      <c r="A15" s="22"/>
      <c r="B15" s="18">
        <f t="shared" ca="1" si="0"/>
        <v>7</v>
      </c>
      <c r="C15" s="12" t="s">
        <v>22</v>
      </c>
      <c r="D15" s="13" t="s">
        <v>77</v>
      </c>
      <c r="E15" s="13" t="s">
        <v>78</v>
      </c>
      <c r="F15" s="13" t="s">
        <v>181</v>
      </c>
      <c r="G15" s="13" t="s">
        <v>158</v>
      </c>
      <c r="H15" s="13" t="s">
        <v>182</v>
      </c>
      <c r="I15" s="14"/>
    </row>
    <row r="16" spans="1:10" ht="242.25" x14ac:dyDescent="0.25">
      <c r="A16" s="22"/>
      <c r="B16" s="18">
        <f t="shared" ref="B16" ca="1" si="1">IF(A16&lt;&gt;"",1,INDIRECT(ADDRESS(ROW(B16)-1,COLUMN(B16),4))+1)</f>
        <v>8</v>
      </c>
      <c r="C16" s="12" t="s">
        <v>22</v>
      </c>
      <c r="D16" s="13" t="s">
        <v>77</v>
      </c>
      <c r="E16" s="13" t="s">
        <v>78</v>
      </c>
      <c r="F16" s="13" t="s">
        <v>184</v>
      </c>
      <c r="G16" s="13" t="s">
        <v>158</v>
      </c>
      <c r="H16" s="13" t="s">
        <v>183</v>
      </c>
      <c r="I16" s="14"/>
    </row>
  </sheetData>
  <mergeCells count="5">
    <mergeCell ref="A1:B1"/>
    <mergeCell ref="A2:B3"/>
    <mergeCell ref="C2:C3"/>
    <mergeCell ref="A5:H5"/>
    <mergeCell ref="A6:H6"/>
  </mergeCells>
  <phoneticPr fontId="2"/>
  <conditionalFormatting sqref="B9:B16">
    <cfRule type="expression" dxfId="2" priority="9">
      <formula>B9&lt;&gt;""</formula>
    </cfRule>
  </conditionalFormatting>
  <dataValidations count="2">
    <dataValidation type="list" allowBlank="1" showInputMessage="1" showErrorMessage="1" sqref="I9:I16" xr:uid="{00000000-0002-0000-0700-000000000000}">
      <formula1>"Selenium:○,Seleniumu:△,Selenium:×,JUnit:○,JUnit:△,Junit:×,手動実行,机上"</formula1>
    </dataValidation>
    <dataValidation type="list" allowBlank="1" showInputMessage="1" showErrorMessage="1" sqref="C9:C16" xr:uid="{00000000-0002-0000-0700-000001000000}">
      <formula1>"正常,クライアントエラー,サーバーエラー"</formula1>
    </dataValidation>
  </dataValidations>
  <hyperlinks>
    <hyperlink ref="A2" location="大中項目!A1" display="目次へ" xr:uid="{00000000-0004-0000-0700-000000000000}"/>
  </hyperlinks>
  <pageMargins left="0.39370078740157483" right="0.39370078740157483" top="0.59055118110236227" bottom="0.59055118110236227" header="0.31496062992125984" footer="0.31496062992125984"/>
  <pageSetup paperSize="9" scale="70" fitToHeight="0" orientation="landscape"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12"/>
  <sheetViews>
    <sheetView zoomScaleNormal="100" workbookViewId="0">
      <pane ySplit="8" topLeftCell="A9" activePane="bottomLeft" state="frozen"/>
      <selection activeCell="A5" sqref="A5"/>
      <selection pane="bottomLeft" activeCell="A9" sqref="A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6" width="41.73046875" customWidth="1"/>
    <col min="7" max="7" width="42" customWidth="1"/>
    <col min="8" max="8" width="44.3984375" customWidth="1"/>
    <col min="9" max="9" width="19.1328125" customWidth="1"/>
    <col min="10" max="10" width="34.1328125" customWidth="1"/>
  </cols>
  <sheetData>
    <row r="1" spans="1:10" ht="25.5" x14ac:dyDescent="0.25">
      <c r="A1" s="32" t="s">
        <v>6</v>
      </c>
      <c r="B1" s="33"/>
      <c r="C1" s="6" t="s">
        <v>7</v>
      </c>
      <c r="D1" s="6" t="s">
        <v>8</v>
      </c>
      <c r="E1" s="6" t="s">
        <v>9</v>
      </c>
      <c r="F1" s="6" t="s">
        <v>10</v>
      </c>
      <c r="G1" s="6" t="s">
        <v>11</v>
      </c>
      <c r="H1" s="7" t="s">
        <v>12</v>
      </c>
    </row>
    <row r="2" spans="1:10" x14ac:dyDescent="0.25">
      <c r="A2" s="34" t="s">
        <v>20</v>
      </c>
      <c r="B2" s="35"/>
      <c r="C2" s="38">
        <f ca="1">COUNTIFS($B$9:$B$65495,"&lt;&gt;",$J$9:$J$65495,"&lt;&gt;論理削除")</f>
        <v>4</v>
      </c>
      <c r="D2" s="17" t="str">
        <f>大中項目!B1</f>
        <v>JMSS</v>
      </c>
      <c r="E2" s="17" t="str" cm="1">
        <f t="array" aca="1" ref="E2" ca="1">MID(CELL("filename", A1), FIND("]", CELL("filename", A1)) + 1, 255)</f>
        <v>JMSS08</v>
      </c>
      <c r="F2" s="9"/>
      <c r="G2" s="9"/>
      <c r="H2" s="8"/>
    </row>
    <row r="3" spans="1:10" x14ac:dyDescent="0.25">
      <c r="A3" s="36"/>
      <c r="B3" s="37"/>
      <c r="C3" s="39"/>
      <c r="D3" s="17" t="str">
        <f>大中項目!B2</f>
        <v>JMS</v>
      </c>
      <c r="E3" s="17" t="str">
        <f ca="1">INDEX(大中項目!B:B, MATCH(E2, 大中項目!A:A, 0))</f>
        <v>例外処理</v>
      </c>
      <c r="F3" s="9"/>
      <c r="G3" s="9"/>
      <c r="H3" s="9"/>
    </row>
    <row r="4" spans="1:10" x14ac:dyDescent="0.25">
      <c r="A4" s="10"/>
      <c r="B4" s="10"/>
      <c r="C4" s="10"/>
      <c r="D4" s="10"/>
      <c r="E4" s="10"/>
      <c r="F4" s="10"/>
      <c r="G4" s="10"/>
      <c r="H4" s="10"/>
    </row>
    <row r="5" spans="1:10" x14ac:dyDescent="0.25">
      <c r="A5" s="40" t="s">
        <v>13</v>
      </c>
      <c r="B5" s="41"/>
      <c r="C5" s="41"/>
      <c r="D5" s="41"/>
      <c r="E5" s="41"/>
      <c r="F5" s="41"/>
      <c r="G5" s="41"/>
      <c r="H5" s="42"/>
    </row>
    <row r="6" spans="1:10" ht="42" customHeight="1" x14ac:dyDescent="0.25">
      <c r="A6" s="43" t="s">
        <v>14</v>
      </c>
      <c r="B6" s="44"/>
      <c r="C6" s="44"/>
      <c r="D6" s="44"/>
      <c r="E6" s="44"/>
      <c r="F6" s="44"/>
      <c r="G6" s="44"/>
      <c r="H6" s="45"/>
    </row>
    <row r="7" spans="1:10" x14ac:dyDescent="0.25">
      <c r="A7" s="10"/>
      <c r="B7" s="10"/>
      <c r="C7" s="10"/>
      <c r="D7" s="10"/>
      <c r="E7" s="10"/>
      <c r="F7" s="10"/>
      <c r="G7" s="10"/>
      <c r="H7" s="10"/>
    </row>
    <row r="8" spans="1:10" ht="25.5" x14ac:dyDescent="0.25">
      <c r="A8" s="6" t="s">
        <v>4</v>
      </c>
      <c r="B8" s="7" t="s">
        <v>21</v>
      </c>
      <c r="C8" s="6" t="s">
        <v>15</v>
      </c>
      <c r="D8" s="6" t="s">
        <v>16</v>
      </c>
      <c r="E8" s="6" t="s">
        <v>17</v>
      </c>
      <c r="F8" s="7" t="s">
        <v>24</v>
      </c>
      <c r="G8" s="7" t="s">
        <v>26</v>
      </c>
      <c r="H8" s="6" t="s">
        <v>18</v>
      </c>
      <c r="I8" s="6" t="s">
        <v>19</v>
      </c>
    </row>
    <row r="9" spans="1:10" ht="99" customHeight="1" x14ac:dyDescent="0.25">
      <c r="A9" s="11" t="s">
        <v>228</v>
      </c>
      <c r="B9" s="18">
        <f ca="1">IF(A9&lt;&gt;"",1,INDIRECT(ADDRESS(ROW(B9)-1,COLUMN(B9),4))+1)</f>
        <v>1</v>
      </c>
      <c r="C9" s="12" t="s">
        <v>22</v>
      </c>
      <c r="D9" s="28" t="s">
        <v>79</v>
      </c>
      <c r="E9" s="13" t="s">
        <v>87</v>
      </c>
      <c r="F9" s="13" t="s">
        <v>156</v>
      </c>
      <c r="G9" s="13" t="s">
        <v>158</v>
      </c>
      <c r="H9" s="13" t="s">
        <v>254</v>
      </c>
      <c r="I9" s="14"/>
      <c r="J9" s="21"/>
    </row>
    <row r="10" spans="1:10" ht="117" customHeight="1" x14ac:dyDescent="0.25">
      <c r="A10" s="22" t="s">
        <v>229</v>
      </c>
      <c r="B10" s="18">
        <f ca="1">IF(A10&lt;&gt;"",1,INDIRECT(ADDRESS(ROW(B10)-1,COLUMN(B10),4))+1)</f>
        <v>1</v>
      </c>
      <c r="C10" s="12" t="s">
        <v>22</v>
      </c>
      <c r="D10" s="28" t="s">
        <v>80</v>
      </c>
      <c r="E10" s="28" t="s">
        <v>88</v>
      </c>
      <c r="F10" s="13" t="s">
        <v>157</v>
      </c>
      <c r="G10" s="13" t="s">
        <v>115</v>
      </c>
      <c r="H10" s="13" t="s">
        <v>195</v>
      </c>
      <c r="I10" s="14"/>
      <c r="J10" s="21"/>
    </row>
    <row r="11" spans="1:10" ht="117" customHeight="1" x14ac:dyDescent="0.25">
      <c r="A11" s="22" t="s">
        <v>230</v>
      </c>
      <c r="B11" s="18">
        <f ca="1">IF(A11&lt;&gt;"",1,INDIRECT(ADDRESS(ROW(B11)-1,COLUMN(B11),4))+1)</f>
        <v>1</v>
      </c>
      <c r="C11" s="12" t="s">
        <v>22</v>
      </c>
      <c r="D11" s="28" t="s">
        <v>196</v>
      </c>
      <c r="E11" s="28" t="s">
        <v>197</v>
      </c>
      <c r="F11" s="13" t="s">
        <v>198</v>
      </c>
      <c r="G11" s="13" t="s">
        <v>115</v>
      </c>
      <c r="H11" s="13" t="s">
        <v>235</v>
      </c>
      <c r="I11" s="14"/>
      <c r="J11" s="21"/>
    </row>
    <row r="12" spans="1:10" ht="114.75" x14ac:dyDescent="0.25">
      <c r="A12" s="22"/>
      <c r="B12" s="18">
        <f ca="1">IF(A12&lt;&gt;"",1,INDIRECT(ADDRESS(ROW(B12)-1,COLUMN(B12),4))+1)</f>
        <v>2</v>
      </c>
      <c r="C12" s="12" t="s">
        <v>22</v>
      </c>
      <c r="D12" s="28" t="s">
        <v>197</v>
      </c>
      <c r="E12" s="28" t="s">
        <v>197</v>
      </c>
      <c r="F12" s="13" t="s">
        <v>199</v>
      </c>
      <c r="G12" s="13" t="s">
        <v>115</v>
      </c>
      <c r="H12" s="13" t="s">
        <v>200</v>
      </c>
      <c r="I12" s="14"/>
    </row>
  </sheetData>
  <mergeCells count="5">
    <mergeCell ref="A1:B1"/>
    <mergeCell ref="A2:B3"/>
    <mergeCell ref="C2:C3"/>
    <mergeCell ref="A5:H5"/>
    <mergeCell ref="A6:H6"/>
  </mergeCells>
  <phoneticPr fontId="2"/>
  <conditionalFormatting sqref="B9:B12">
    <cfRule type="expression" dxfId="1" priority="1">
      <formula>B9&lt;&gt;""</formula>
    </cfRule>
  </conditionalFormatting>
  <dataValidations count="2">
    <dataValidation type="list" allowBlank="1" showInputMessage="1" showErrorMessage="1" sqref="C9:C12" xr:uid="{00000000-0002-0000-0800-000000000000}">
      <formula1>"正常,クライアントエラー,サーバーエラー"</formula1>
    </dataValidation>
    <dataValidation type="list" allowBlank="1" showInputMessage="1" showErrorMessage="1" sqref="I9:I12" xr:uid="{00000000-0002-0000-0800-000001000000}">
      <formula1>"Selenium:○,Seleniumu:△,Selenium:×,JUnit:○,JUnit:△,Junit:×,手動実行,机上"</formula1>
    </dataValidation>
  </dataValidations>
  <hyperlinks>
    <hyperlink ref="A2" location="大中項目!A1" display="目次へ" xr:uid="{00000000-0004-0000-0800-000000000000}"/>
  </hyperlinks>
  <pageMargins left="0.39370078740157483" right="0.39370078740157483" top="0.59055118110236227" bottom="0.59055118110236227" header="0.31496062992125984" footer="0.31496062992125984"/>
  <pageSetup paperSize="9" scale="70" fitToHeight="0" orientation="landscape"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9"/>
  <sheetViews>
    <sheetView zoomScaleNormal="100" workbookViewId="0">
      <pane ySplit="8" topLeftCell="A9" activePane="bottomLeft" state="frozen"/>
      <selection activeCell="A5" sqref="A5"/>
      <selection pane="bottomLeft" activeCell="A9" sqref="A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6" width="41.73046875" customWidth="1"/>
    <col min="7" max="7" width="42" customWidth="1"/>
    <col min="8" max="8" width="43.46484375" customWidth="1"/>
    <col min="9" max="9" width="19.265625" customWidth="1"/>
    <col min="10" max="10" width="33" customWidth="1"/>
  </cols>
  <sheetData>
    <row r="1" spans="1:9" ht="25.5" x14ac:dyDescent="0.25">
      <c r="A1" s="32" t="s">
        <v>6</v>
      </c>
      <c r="B1" s="33"/>
      <c r="C1" s="6" t="s">
        <v>7</v>
      </c>
      <c r="D1" s="6" t="s">
        <v>8</v>
      </c>
      <c r="E1" s="6" t="s">
        <v>9</v>
      </c>
      <c r="F1" s="6" t="s">
        <v>10</v>
      </c>
      <c r="G1" s="6" t="s">
        <v>11</v>
      </c>
      <c r="H1" s="7" t="s">
        <v>12</v>
      </c>
    </row>
    <row r="2" spans="1:9" x14ac:dyDescent="0.25">
      <c r="A2" s="34" t="s">
        <v>20</v>
      </c>
      <c r="B2" s="35"/>
      <c r="C2" s="38">
        <f ca="1">COUNTIFS($B$9:$B$65495,"&lt;&gt;",$J$9:$J$65495,"&lt;&gt;論理削除")</f>
        <v>1</v>
      </c>
      <c r="D2" s="17" t="str">
        <f>大中項目!B1</f>
        <v>JMSS</v>
      </c>
      <c r="E2" s="17" t="str" cm="1">
        <f t="array" aca="1" ref="E2" ca="1">MID(CELL("filename", A1), FIND("]", CELL("filename", A1)) + 1, 255)</f>
        <v>JMSS09</v>
      </c>
      <c r="F2" s="9"/>
      <c r="G2" s="9"/>
      <c r="H2" s="8"/>
    </row>
    <row r="3" spans="1:9" x14ac:dyDescent="0.25">
      <c r="A3" s="36"/>
      <c r="B3" s="37"/>
      <c r="C3" s="39"/>
      <c r="D3" s="17" t="str">
        <f>大中項目!B2</f>
        <v>JMS</v>
      </c>
      <c r="E3" s="17" t="str">
        <f ca="1">INDEX(大中項目!B:B, MATCH(E2, 大中項目!A:A, 0))</f>
        <v>サイズの大きなデータの送受信</v>
      </c>
      <c r="F3" s="9"/>
      <c r="G3" s="9"/>
      <c r="H3" s="9"/>
    </row>
    <row r="4" spans="1:9" x14ac:dyDescent="0.25">
      <c r="A4" s="10"/>
      <c r="B4" s="10"/>
      <c r="C4" s="10"/>
      <c r="D4" s="10"/>
      <c r="E4" s="10"/>
      <c r="F4" s="10"/>
      <c r="G4" s="10"/>
      <c r="H4" s="10"/>
    </row>
    <row r="5" spans="1:9" x14ac:dyDescent="0.25">
      <c r="A5" s="40" t="s">
        <v>13</v>
      </c>
      <c r="B5" s="41"/>
      <c r="C5" s="41"/>
      <c r="D5" s="41"/>
      <c r="E5" s="41"/>
      <c r="F5" s="41"/>
      <c r="G5" s="41"/>
      <c r="H5" s="42"/>
    </row>
    <row r="6" spans="1:9" ht="42" customHeight="1" x14ac:dyDescent="0.25">
      <c r="A6" s="43" t="s">
        <v>14</v>
      </c>
      <c r="B6" s="44"/>
      <c r="C6" s="44"/>
      <c r="D6" s="44"/>
      <c r="E6" s="44"/>
      <c r="F6" s="44"/>
      <c r="G6" s="44"/>
      <c r="H6" s="45"/>
    </row>
    <row r="7" spans="1:9" x14ac:dyDescent="0.25">
      <c r="A7" s="10"/>
      <c r="B7" s="10"/>
      <c r="C7" s="10"/>
      <c r="D7" s="10"/>
      <c r="E7" s="10"/>
      <c r="F7" s="10"/>
      <c r="G7" s="10"/>
      <c r="H7" s="10"/>
    </row>
    <row r="8" spans="1:9" ht="25.5" x14ac:dyDescent="0.25">
      <c r="A8" s="6" t="s">
        <v>4</v>
      </c>
      <c r="B8" s="7" t="s">
        <v>21</v>
      </c>
      <c r="C8" s="6" t="s">
        <v>15</v>
      </c>
      <c r="D8" s="6" t="s">
        <v>16</v>
      </c>
      <c r="E8" s="6" t="s">
        <v>17</v>
      </c>
      <c r="F8" s="7" t="s">
        <v>24</v>
      </c>
      <c r="G8" s="7" t="s">
        <v>23</v>
      </c>
      <c r="H8" s="6" t="s">
        <v>18</v>
      </c>
      <c r="I8" s="6" t="s">
        <v>19</v>
      </c>
    </row>
    <row r="9" spans="1:9" ht="90" customHeight="1" x14ac:dyDescent="0.25">
      <c r="A9" s="22" t="str">
        <f>大中項目!C25</f>
        <v>JMSS0901</v>
      </c>
      <c r="B9" s="18">
        <f ca="1">IF(A9&lt;&gt;"",1,INDIRECT(ADDRESS(ROW(B9)-1,COLUMN(B9),4))+1)</f>
        <v>1</v>
      </c>
      <c r="C9" s="12" t="s">
        <v>22</v>
      </c>
      <c r="D9" s="13" t="s">
        <v>82</v>
      </c>
      <c r="E9" s="13" t="s">
        <v>81</v>
      </c>
      <c r="F9" s="13" t="s">
        <v>147</v>
      </c>
      <c r="G9" s="13" t="s">
        <v>116</v>
      </c>
      <c r="H9" s="13" t="s">
        <v>133</v>
      </c>
      <c r="I9" s="14"/>
    </row>
  </sheetData>
  <mergeCells count="5">
    <mergeCell ref="A1:B1"/>
    <mergeCell ref="A2:B3"/>
    <mergeCell ref="C2:C3"/>
    <mergeCell ref="A5:H5"/>
    <mergeCell ref="A6:H6"/>
  </mergeCells>
  <phoneticPr fontId="2"/>
  <conditionalFormatting sqref="B9">
    <cfRule type="expression" dxfId="0" priority="1">
      <formula>B9&lt;&gt;""</formula>
    </cfRule>
  </conditionalFormatting>
  <dataValidations count="2">
    <dataValidation type="list" allowBlank="1" showInputMessage="1" showErrorMessage="1" sqref="C9" xr:uid="{00000000-0002-0000-0900-000000000000}">
      <formula1>"正常,クライアントエラー,サーバーエラー"</formula1>
    </dataValidation>
    <dataValidation type="list" allowBlank="1" showInputMessage="1" showErrorMessage="1" sqref="I9" xr:uid="{00000000-0002-0000-0900-000001000000}">
      <formula1>"Selenium:○,Seleniumu:△,Selenium:×,JUnit:○,JUnit:△,Junit:×,手動実行,机上"</formula1>
    </dataValidation>
  </dataValidations>
  <hyperlinks>
    <hyperlink ref="A2" location="大中項目!A1" display="目次へ" xr:uid="{00000000-0004-0000-0900-000000000000}"/>
  </hyperlinks>
  <pageMargins left="0.39370078740157483" right="0.39370078740157483" top="0.59055118110236227" bottom="0.59055118110236227" header="0.31496062992125984" footer="0.31496062992125984"/>
  <pageSetup paperSize="9" scale="70" fitToHeight="0"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10</vt:i4>
      </vt:variant>
      <vt:variant>
        <vt:lpstr>名前付き一覧</vt:lpstr>
      </vt:variant>
      <vt:variant>
        <vt:i4>10</vt:i4>
      </vt:variant>
    </vt:vector>
  </HeadingPairs>
  <TitlesOfParts>
    <vt:vector size="20" baseType="lpstr">
      <vt:lpstr>大中項目</vt:lpstr>
      <vt:lpstr>JMSS01</vt:lpstr>
      <vt:lpstr>JMSS02</vt:lpstr>
      <vt:lpstr>JMSS03</vt:lpstr>
      <vt:lpstr>JMSS04</vt:lpstr>
      <vt:lpstr>JMSS05</vt:lpstr>
      <vt:lpstr>JMSS06</vt:lpstr>
      <vt:lpstr>JMSS07</vt:lpstr>
      <vt:lpstr>JMSS08</vt:lpstr>
      <vt:lpstr>JMSS09</vt:lpstr>
      <vt:lpstr>JMSS01!Print_Titles</vt:lpstr>
      <vt:lpstr>JMSS02!Print_Titles</vt:lpstr>
      <vt:lpstr>JMSS03!Print_Titles</vt:lpstr>
      <vt:lpstr>JMSS04!Print_Titles</vt:lpstr>
      <vt:lpstr>JMSS05!Print_Titles</vt:lpstr>
      <vt:lpstr>JMSS06!Print_Titles</vt:lpstr>
      <vt:lpstr>JMSS07!Print_Titles</vt:lpstr>
      <vt:lpstr>JMSS08!Print_Titles</vt:lpstr>
      <vt:lpstr>JMSS09!Print_Titles</vt:lpstr>
      <vt:lpstr>大中項目!Print_Titles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2013-11-12T04:15:29Z</cp:lastPrinted>
  <dcterms:created xsi:type="dcterms:W3CDTF">2013-11-07T11:05:46Z</dcterms:created>
  <dcterms:modified xsi:type="dcterms:W3CDTF">2025-04-23T01:39:30Z</dcterms:modified>
</cp:coreProperties>
</file>