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work\Git\home\issues\TSF4J5-5138_oth2_spring-func\docs\03_Securityのテスト\"/>
    </mc:Choice>
  </mc:AlternateContent>
  <xr:revisionPtr revIDLastSave="0" documentId="13_ncr:1_{DE6FA6B1-3333-4915-9B31-23FB73C50ACA}" xr6:coauthVersionLast="47" xr6:coauthVersionMax="47" xr10:uidLastSave="{00000000-0000-0000-0000-000000000000}"/>
  <bookViews>
    <workbookView xWindow="1215" yWindow="255" windowWidth="22995" windowHeight="15300" tabRatio="621" xr2:uid="{00000000-000D-0000-FFFF-FFFF00000000}"/>
  </bookViews>
  <sheets>
    <sheet name="大中項目" sheetId="1" r:id="rId1"/>
    <sheet name="認可サーバーの設定について" sheetId="45" r:id="rId2"/>
    <sheet name="OTH201" sheetId="44" r:id="rId3"/>
    <sheet name="OTH202" sheetId="43" r:id="rId4"/>
    <sheet name="OTH203" sheetId="7" r:id="rId5"/>
  </sheets>
  <definedNames>
    <definedName name="_xlnm.Print_Titles" localSheetId="2">'OTH201'!$1:$8</definedName>
    <definedName name="_xlnm.Print_Titles" localSheetId="3">'OTH202'!$1:$8</definedName>
    <definedName name="_xlnm.Print_Titles" localSheetId="4">'OTH203'!$1:$8</definedName>
    <definedName name="_xlnm.Print_Titles" localSheetId="0">大中項目!$1:$4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E2" i="7" a="1"/>
  <c r="E2" i="7" s="1"/>
  <c r="E3" i="7" s="1"/>
  <c r="D2" i="7"/>
  <c r="D3" i="43"/>
  <c r="E2" i="43" a="1"/>
  <c r="E2" i="43" s="1"/>
  <c r="E3" i="43" s="1"/>
  <c r="D2" i="43"/>
  <c r="E2" i="44" a="1"/>
  <c r="E2" i="44" s="1"/>
  <c r="E3" i="44" s="1"/>
  <c r="A11" i="1"/>
  <c r="C11" i="1" s="1"/>
  <c r="B9" i="44"/>
  <c r="D3" i="44"/>
  <c r="D2" i="44"/>
  <c r="B10" i="44"/>
  <c r="B9" i="43" l="1"/>
  <c r="B11" i="44"/>
  <c r="B10" i="43"/>
  <c r="B12" i="44"/>
  <c r="B13" i="44"/>
  <c r="B11" i="43"/>
  <c r="A9" i="1" l="1"/>
  <c r="A10" i="1"/>
  <c r="A12" i="1"/>
  <c r="C12" i="1" s="1"/>
  <c r="C13" i="1" s="1"/>
  <c r="A13" i="1"/>
  <c r="A8" i="1"/>
  <c r="B12" i="43"/>
  <c r="B14" i="44"/>
  <c r="C2" i="43" l="1"/>
  <c r="C9" i="1"/>
  <c r="C10" i="1" s="1"/>
  <c r="B13" i="43"/>
  <c r="B15" i="44"/>
  <c r="B9" i="7" l="1"/>
  <c r="B17" i="44"/>
  <c r="B16" i="44"/>
  <c r="B10" i="7"/>
  <c r="B11" i="7"/>
  <c r="B18" i="44"/>
  <c r="B12" i="7" l="1"/>
  <c r="B13" i="7" s="1"/>
  <c r="B19" i="44"/>
  <c r="B20" i="44"/>
  <c r="C2" i="7" l="1"/>
  <c r="A5" i="1"/>
  <c r="B21" i="44"/>
  <c r="C5" i="1" l="1"/>
  <c r="C6" i="1" s="1"/>
  <c r="C7" i="1" s="1"/>
  <c r="C8" i="1" s="1"/>
  <c r="B22" i="44"/>
  <c r="B25" i="44" l="1"/>
  <c r="B23" i="44"/>
  <c r="B24" i="44"/>
  <c r="B26" i="44"/>
  <c r="B27" i="44" l="1"/>
  <c r="B28" i="44"/>
  <c r="B29" i="44"/>
  <c r="B30" i="44"/>
  <c r="B31" i="44"/>
  <c r="B32" i="44"/>
  <c r="B33" i="44"/>
  <c r="B34" i="44"/>
  <c r="C2" i="44" l="1"/>
  <c r="C2" i="1" a="1"/>
  <c r="C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<sst xmlns="http://schemas.openxmlformats.org/spreadsheetml/2006/main" count="417" uniqueCount="222">
  <si>
    <t>機能ID</t>
    <rPh sb="0" eb="2">
      <t>キノウ</t>
    </rPh>
    <phoneticPr fontId="4"/>
  </si>
  <si>
    <t>機能名</t>
    <rPh sb="0" eb="3">
      <t>キノウメイ</t>
    </rPh>
    <phoneticPr fontId="4"/>
  </si>
  <si>
    <t>大項目ID</t>
    <rPh sb="0" eb="3">
      <t>ダイコウモク</t>
    </rPh>
    <phoneticPr fontId="4"/>
  </si>
  <si>
    <t>大項目</t>
    <rPh sb="0" eb="3">
      <t>ダイコウモク</t>
    </rPh>
    <phoneticPr fontId="4"/>
  </si>
  <si>
    <t>中項目ID</t>
    <rPh sb="0" eb="3">
      <t>チュウコウモク</t>
    </rPh>
    <phoneticPr fontId="4"/>
  </si>
  <si>
    <t>中項目</t>
    <rPh sb="0" eb="3">
      <t>チュウコウモク</t>
    </rPh>
    <phoneticPr fontId="4"/>
  </si>
  <si>
    <t>試験項目表</t>
    <rPh sb="0" eb="2">
      <t>シケン</t>
    </rPh>
    <rPh sb="2" eb="4">
      <t>コウモク</t>
    </rPh>
    <phoneticPr fontId="10"/>
  </si>
  <si>
    <t>件数</t>
    <rPh sb="0" eb="2">
      <t>ケンスウ</t>
    </rPh>
    <phoneticPr fontId="10"/>
  </si>
  <si>
    <t>機能ID/機能名</t>
    <rPh sb="0" eb="2">
      <t>キノウ</t>
    </rPh>
    <rPh sb="5" eb="7">
      <t>キノウ</t>
    </rPh>
    <rPh sb="7" eb="8">
      <t>メイ</t>
    </rPh>
    <phoneticPr fontId="10"/>
  </si>
  <si>
    <t>大項目ID/大項目名</t>
    <rPh sb="0" eb="3">
      <t>ダイコウモク</t>
    </rPh>
    <rPh sb="6" eb="9">
      <t>ダイコウモク</t>
    </rPh>
    <rPh sb="9" eb="10">
      <t>メイ</t>
    </rPh>
    <phoneticPr fontId="10"/>
  </si>
  <si>
    <t>作成者/作成日</t>
    <phoneticPr fontId="10"/>
  </si>
  <si>
    <t>更新者/更新日</t>
    <rPh sb="0" eb="3">
      <t>コウシンシャ</t>
    </rPh>
    <rPh sb="4" eb="7">
      <t>コウシンビ</t>
    </rPh>
    <phoneticPr fontId="10"/>
  </si>
  <si>
    <t>レビュー実施者/
レビュー日</t>
    <rPh sb="13" eb="14">
      <t>ビ</t>
    </rPh>
    <phoneticPr fontId="10"/>
  </si>
  <si>
    <t>特記事項</t>
    <rPh sb="0" eb="2">
      <t>トッキ</t>
    </rPh>
    <rPh sb="2" eb="4">
      <t>ジコウ</t>
    </rPh>
    <phoneticPr fontId="10"/>
  </si>
  <si>
    <t>分類</t>
    <rPh sb="0" eb="2">
      <t>ブンルイ</t>
    </rPh>
    <phoneticPr fontId="4"/>
  </si>
  <si>
    <t>試験項目</t>
    <rPh sb="0" eb="2">
      <t>シケン</t>
    </rPh>
    <rPh sb="2" eb="4">
      <t>コウモク</t>
    </rPh>
    <phoneticPr fontId="4"/>
  </si>
  <si>
    <t>試験条件</t>
    <rPh sb="0" eb="2">
      <t>シケン</t>
    </rPh>
    <rPh sb="2" eb="4">
      <t>ジョウケン</t>
    </rPh>
    <phoneticPr fontId="4"/>
  </si>
  <si>
    <t>確認内容</t>
    <rPh sb="0" eb="2">
      <t>カクニン</t>
    </rPh>
    <rPh sb="2" eb="4">
      <t>ナイヨウ</t>
    </rPh>
    <phoneticPr fontId="4"/>
  </si>
  <si>
    <t>確認方法</t>
    <rPh sb="0" eb="2">
      <t>カクニン</t>
    </rPh>
    <rPh sb="2" eb="4">
      <t>ホウホウ</t>
    </rPh>
    <phoneticPr fontId="4"/>
  </si>
  <si>
    <t>大中項目へ</t>
    <rPh sb="0" eb="2">
      <t>ダイチュウ</t>
    </rPh>
    <rPh sb="2" eb="4">
      <t>コウモク</t>
    </rPh>
    <phoneticPr fontId="4"/>
  </si>
  <si>
    <t>Case
ID</t>
    <phoneticPr fontId="4"/>
  </si>
  <si>
    <t>試験条件詳細【事前条件】</t>
    <rPh sb="7" eb="9">
      <t>ジゼン</t>
    </rPh>
    <rPh sb="9" eb="11">
      <t>ジョウケン</t>
    </rPh>
    <phoneticPr fontId="10"/>
  </si>
  <si>
    <t>試験条件詳細【実施条件】</t>
    <phoneticPr fontId="10"/>
  </si>
  <si>
    <t>正常</t>
  </si>
  <si>
    <t>総件数</t>
    <rPh sb="0" eb="3">
      <t>ソウケンスウ</t>
    </rPh>
    <phoneticPr fontId="4"/>
  </si>
  <si>
    <t>OAuth2.0</t>
    <phoneticPr fontId="4"/>
  </si>
  <si>
    <t>OTH20102</t>
    <phoneticPr fontId="4"/>
  </si>
  <si>
    <t>OTH20103</t>
    <phoneticPr fontId="4"/>
  </si>
  <si>
    <t>OTH20104</t>
    <phoneticPr fontId="4"/>
  </si>
  <si>
    <t>Selenium:○</t>
  </si>
  <si>
    <t>サーバーエラー</t>
  </si>
  <si>
    <t>・クライアントサーバより以下のスコープを指定しリソースへアクセスすること
　・スコープ：READ
・リソースオーナの認証、認可を行うこと</t>
    <rPh sb="57" eb="59">
      <t>ニンショウ</t>
    </rPh>
    <rPh sb="60" eb="62">
      <t>ニンカ</t>
    </rPh>
    <rPh sb="63" eb="64">
      <t>オコナ</t>
    </rPh>
    <phoneticPr fontId="4"/>
  </si>
  <si>
    <t>OTH2</t>
    <phoneticPr fontId="4"/>
  </si>
  <si>
    <t xml:space="preserve">[目的]
　認可グラントによる挙動の確認を行う。
[補足]
　本項における試験条件は以下とする。
　　・認可コードグラント
　　・リソースサーバ～認可サーバ間のアクセストークンの連携方法・・・JWT
</t>
    <rPh sb="6" eb="8">
      <t>ニンカ</t>
    </rPh>
    <rPh sb="15" eb="17">
      <t>キョドウ</t>
    </rPh>
    <rPh sb="18" eb="20">
      <t>カクニン</t>
    </rPh>
    <rPh sb="21" eb="22">
      <t>オコナ</t>
    </rPh>
    <phoneticPr fontId="4"/>
  </si>
  <si>
    <t>認可コードグラント</t>
    <rPh sb="0" eb="2">
      <t>ニンカ</t>
    </rPh>
    <phoneticPr fontId="4"/>
  </si>
  <si>
    <t>認可サーバー</t>
    <rPh sb="0" eb="2">
      <t>ニンカ</t>
    </rPh>
    <phoneticPr fontId="4"/>
  </si>
  <si>
    <t>項目名</t>
  </si>
  <si>
    <t>説明</t>
  </si>
  <si>
    <t>値</t>
  </si>
  <si>
    <t>Access Token Lifespan</t>
  </si>
  <si>
    <t>90s</t>
  </si>
  <si>
    <t>Client Session Idle</t>
  </si>
  <si>
    <t>Client Session Max</t>
  </si>
  <si>
    <t>SSO Session Idle</t>
  </si>
  <si>
    <t>3m</t>
  </si>
  <si>
    <t>SSO Session Max</t>
  </si>
  <si>
    <t>5h</t>
  </si>
  <si>
    <t>セッションが期限切れになる前にアイドル状態であることが許される時間。
トークンとブラウザ・セッションは、セッションの有効期限が切れると無効になる。</t>
    <phoneticPr fontId="4"/>
  </si>
  <si>
    <t>セッションの有効期限が切れるまでの最大時間。
トークンとブラウザ・セッションは、セッションの有効期限が切れると無効になる。</t>
    <phoneticPr fontId="4"/>
  </si>
  <si>
    <t>Client：ReadClient</t>
    <phoneticPr fontId="4"/>
  </si>
  <si>
    <t>Realm：spring-functionaltest</t>
    <phoneticPr fontId="4"/>
  </si>
  <si>
    <t>60s</t>
    <phoneticPr fontId="4"/>
  </si>
  <si>
    <t>2m</t>
    <phoneticPr fontId="4"/>
  </si>
  <si>
    <t>3m</t>
    <phoneticPr fontId="4"/>
  </si>
  <si>
    <t>クライアント・セッションの有効期限が切れるまでの最大時間。
クライアントセッションの最大時間はリフレッシュトークンの使用によってリセットされない。</t>
    <phoneticPr fontId="4"/>
  </si>
  <si>
    <t>クライアント・セッションが期限切れになる前にアイドルであることを許される時間。
アクセストークンがリフレッシュされると、クライアントセッションのアイドル時間もリセットされる。</t>
    <phoneticPr fontId="4"/>
  </si>
  <si>
    <t>アクセストークンが失効するまでの最大時間。
新しいアクセストークンが発行されると、そのアクセストークンの有効期間は再設定される。</t>
    <phoneticPr fontId="4"/>
  </si>
  <si>
    <t>基本的な値とその挙動について</t>
    <rPh sb="0" eb="3">
      <t>キホンテキ</t>
    </rPh>
    <rPh sb="4" eb="5">
      <t>アタイ</t>
    </rPh>
    <rPh sb="8" eb="10">
      <t>キョドウ</t>
    </rPh>
    <phoneticPr fontId="4"/>
  </si>
  <si>
    <t>リフレッシュされない期間</t>
    <rPh sb="10" eb="12">
      <t>キカン</t>
    </rPh>
    <phoneticPr fontId="4"/>
  </si>
  <si>
    <t>Access Token Lifespan</t>
    <phoneticPr fontId="4"/>
  </si>
  <si>
    <t>0s ～ (Access Token Lifespan - 60s)</t>
    <phoneticPr fontId="4"/>
  </si>
  <si>
    <t>※60sはSpringSecurityの仕様</t>
    <rPh sb="20" eb="22">
      <t>シヨウ</t>
    </rPh>
    <phoneticPr fontId="4"/>
  </si>
  <si>
    <t>リフレッシュされる期間</t>
    <rPh sb="9" eb="11">
      <t>キカン</t>
    </rPh>
    <phoneticPr fontId="4"/>
  </si>
  <si>
    <t>(Access Token Lifespan - 60s) ～ Client Session Idle</t>
    <phoneticPr fontId="4"/>
  </si>
  <si>
    <t>・Access Token Lifespan：更新される</t>
    <rPh sb="23" eb="25">
      <t>コウシン</t>
    </rPh>
    <phoneticPr fontId="4"/>
  </si>
  <si>
    <t>・Client Session Idle：更新される</t>
    <rPh sb="21" eb="23">
      <t>コウシン</t>
    </rPh>
    <phoneticPr fontId="4"/>
  </si>
  <si>
    <t>・Client Session Max：更新されない</t>
    <rPh sb="20" eb="22">
      <t>コウシン</t>
    </rPh>
    <phoneticPr fontId="4"/>
  </si>
  <si>
    <t>Client Session Idle ～</t>
    <phoneticPr fontId="4"/>
  </si>
  <si>
    <t>※アプリ側でエラーハンドリングを実施し、リフレッシュできるようにしているが、認可サーバー的にはエラーを返して終わり</t>
    <rPh sb="4" eb="5">
      <t>ガワ</t>
    </rPh>
    <rPh sb="16" eb="18">
      <t>ジッシ</t>
    </rPh>
    <rPh sb="38" eb="40">
      <t>ニンカ</t>
    </rPh>
    <rPh sb="44" eb="45">
      <t>テキ</t>
    </rPh>
    <rPh sb="51" eb="52">
      <t>カエ</t>
    </rPh>
    <rPh sb="54" eb="55">
      <t>オ</t>
    </rPh>
    <phoneticPr fontId="4"/>
  </si>
  <si>
    <t>■Access Token Lifespan &lt; Client Session Idle &lt; Client Session Max　の場合</t>
    <rPh sb="67" eb="69">
      <t>バアイ</t>
    </rPh>
    <phoneticPr fontId="4"/>
  </si>
  <si>
    <t>■Access Token Lifespan &lt; Client Session Max &lt; Client Session Idle　の場合</t>
    <rPh sb="67" eb="69">
      <t>バアイ</t>
    </rPh>
    <phoneticPr fontId="4"/>
  </si>
  <si>
    <t>※何度かリフレッシュを繰り返すと、このような状態となる。この場合正確には、Client Session Max = Client Session Idle となる</t>
    <rPh sb="1" eb="3">
      <t>ナンド</t>
    </rPh>
    <rPh sb="11" eb="12">
      <t>ク</t>
    </rPh>
    <rPh sb="13" eb="14">
      <t>カエ</t>
    </rPh>
    <rPh sb="22" eb="24">
      <t>ジョウタイ</t>
    </rPh>
    <rPh sb="30" eb="32">
      <t>バアイ</t>
    </rPh>
    <rPh sb="32" eb="34">
      <t>セイカク</t>
    </rPh>
    <phoneticPr fontId="4"/>
  </si>
  <si>
    <t>(Access Token Lifespan - 60s) ～ Client Session Max</t>
  </si>
  <si>
    <t>・Client Session Idle：更新されない</t>
    <rPh sb="21" eb="23">
      <t>コウシン</t>
    </rPh>
    <phoneticPr fontId="4"/>
  </si>
  <si>
    <t>Client Session Max ～</t>
    <phoneticPr fontId="4"/>
  </si>
  <si>
    <t>user：demo/demo</t>
    <phoneticPr fontId="4"/>
  </si>
  <si>
    <t>Client Scopes</t>
    <phoneticPr fontId="4"/>
  </si>
  <si>
    <t>READ</t>
    <phoneticPr fontId="4"/>
  </si>
  <si>
    <t>許可されるスコープ</t>
    <rPh sb="0" eb="2">
      <t>キョカ</t>
    </rPh>
    <phoneticPr fontId="4"/>
  </si>
  <si>
    <t>READ, CREATE, UPDATE, DELETE</t>
    <phoneticPr fontId="4"/>
  </si>
  <si>
    <t>認可の仕組み</t>
    <rPh sb="0" eb="2">
      <t>ニンカ</t>
    </rPh>
    <rPh sb="3" eb="5">
      <t>シク</t>
    </rPh>
    <phoneticPr fontId="4"/>
  </si>
  <si>
    <t>例えば</t>
    <rPh sb="0" eb="1">
      <t>タト</t>
    </rPh>
    <phoneticPr fontId="4"/>
  </si>
  <si>
    <t>Client：testClient</t>
    <phoneticPr fontId="4"/>
  </si>
  <si>
    <t>・testClient(READ, CREATE, UPDATE, DELETE)</t>
    <phoneticPr fontId="4"/>
  </si>
  <si>
    <t>・アプリ（READ, DELETE）</t>
    <phoneticPr fontId="4"/>
  </si>
  <si>
    <t>・readClient(READ)</t>
    <phoneticPr fontId="4"/>
  </si>
  <si>
    <t>の場合、エラーとなる。</t>
    <rPh sb="1" eb="3">
      <t>バアイ</t>
    </rPh>
    <phoneticPr fontId="4"/>
  </si>
  <si>
    <t>の場合、許可されるスコープはREADとDELETEのみになる。</t>
    <rPh sb="1" eb="3">
      <t>バアイ</t>
    </rPh>
    <rPh sb="4" eb="6">
      <t>キョカ</t>
    </rPh>
    <phoneticPr fontId="4"/>
  </si>
  <si>
    <t>１．認可サーバーに全スコープ（READ/CREATE/UPDATE/DELETE）に対する権限を持つClientを作成済みであること
２．上記Clientを使用可能なユーザが認可サーバーに登録されていること</t>
    <rPh sb="2" eb="4">
      <t>ニンカ</t>
    </rPh>
    <rPh sb="9" eb="10">
      <t>ゼン</t>
    </rPh>
    <rPh sb="42" eb="43">
      <t>タイ</t>
    </rPh>
    <rPh sb="45" eb="47">
      <t>ケンゲン</t>
    </rPh>
    <rPh sb="48" eb="49">
      <t>モ</t>
    </rPh>
    <rPh sb="57" eb="59">
      <t>サクセイ</t>
    </rPh>
    <rPh sb="59" eb="60">
      <t>ズ</t>
    </rPh>
    <rPh sb="69" eb="71">
      <t>ジョウキ</t>
    </rPh>
    <rPh sb="78" eb="80">
      <t>シヨウ</t>
    </rPh>
    <rPh sb="80" eb="82">
      <t>カノウ</t>
    </rPh>
    <rPh sb="87" eb="89">
      <t>ニンカ</t>
    </rPh>
    <rPh sb="94" eb="96">
      <t>トウロク</t>
    </rPh>
    <phoneticPr fontId="4"/>
  </si>
  <si>
    <t>・認可コードグラントで認可処理を行う
・認可サーバーのClientは全スコープを許可する
・アプリ側で作成するClientは全スコープを対象とする
・リソースサーバー側でintercept-urlを使用した認可を実施
・CREATEスコープでリソースサーバーにアクセスする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99" eb="101">
      <t>シヨウ</t>
    </rPh>
    <rPh sb="103" eb="105">
      <t>ニンカ</t>
    </rPh>
    <rPh sb="106" eb="108">
      <t>ジッシ</t>
    </rPh>
    <phoneticPr fontId="4"/>
  </si>
  <si>
    <t>・認可コードグラントで認可処理を行う
・認可サーバーのClientは全スコープを許可する
・アプリ側で作成するClientは全スコープを対象とする
・リソースサーバー側でintercept-urlを使用した認可を実施
・READスコープでリソースサーバーにアクセスする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99" eb="101">
      <t>シヨウ</t>
    </rPh>
    <rPh sb="103" eb="105">
      <t>ニンカ</t>
    </rPh>
    <rPh sb="106" eb="108">
      <t>ジッシ</t>
    </rPh>
    <phoneticPr fontId="4"/>
  </si>
  <si>
    <t>１．認可サーバーに全スコープ（READ/CREATE/UPDATE/DELETE）に対する権限を持つClientを作成済みであること
２．上記Clientを使用可能なユーザが認可サーバーに登録されていること
３．TODO一覧画面を表示済み</t>
    <rPh sb="2" eb="4">
      <t>ニンカ</t>
    </rPh>
    <rPh sb="9" eb="10">
      <t>ゼン</t>
    </rPh>
    <rPh sb="42" eb="43">
      <t>タイ</t>
    </rPh>
    <rPh sb="45" eb="47">
      <t>ケンゲン</t>
    </rPh>
    <rPh sb="48" eb="49">
      <t>モ</t>
    </rPh>
    <rPh sb="57" eb="59">
      <t>サクセイ</t>
    </rPh>
    <rPh sb="59" eb="60">
      <t>ズ</t>
    </rPh>
    <rPh sb="69" eb="71">
      <t>ジョウキ</t>
    </rPh>
    <rPh sb="78" eb="80">
      <t>シヨウ</t>
    </rPh>
    <rPh sb="80" eb="82">
      <t>カノウ</t>
    </rPh>
    <rPh sb="87" eb="89">
      <t>ニンカ</t>
    </rPh>
    <rPh sb="94" eb="96">
      <t>トウロク</t>
    </rPh>
    <rPh sb="110" eb="112">
      <t>イチラン</t>
    </rPh>
    <rPh sb="112" eb="114">
      <t>ガメン</t>
    </rPh>
    <rPh sb="115" eb="117">
      <t>ヒョウジ</t>
    </rPh>
    <rPh sb="117" eb="118">
      <t>ズ</t>
    </rPh>
    <phoneticPr fontId="4"/>
  </si>
  <si>
    <t xml:space="preserve">１．TODO一覧取得処理を行う
</t>
    <rPh sb="6" eb="8">
      <t>イチラン</t>
    </rPh>
    <rPh sb="8" eb="10">
      <t>シュトク</t>
    </rPh>
    <rPh sb="10" eb="12">
      <t>ショリ</t>
    </rPh>
    <rPh sb="13" eb="14">
      <t>オコナ</t>
    </rPh>
    <phoneticPr fontId="4"/>
  </si>
  <si>
    <t xml:space="preserve">１．TODO一覧画面からTODOタスクを作成する
</t>
    <rPh sb="6" eb="8">
      <t>イチラン</t>
    </rPh>
    <rPh sb="8" eb="10">
      <t>ガメン</t>
    </rPh>
    <rPh sb="20" eb="22">
      <t>サクセイ</t>
    </rPh>
    <phoneticPr fontId="4"/>
  </si>
  <si>
    <t>・ログに全スコープを対象としていることが表示されること
・TODO一覧画面が表示できること。</t>
    <phoneticPr fontId="4"/>
  </si>
  <si>
    <t>・認可コードグラントで認可処理を行う
・認可サーバーのClientは全スコープを許可する
・アプリ側で作成するClientは全スコープを対象とする
・リソースサーバー側でintercept-urlを使用した認可を実施
・UPDATEスコープでリソースサーバーにアクセスする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99" eb="101">
      <t>シヨウ</t>
    </rPh>
    <rPh sb="103" eb="105">
      <t>ニンカ</t>
    </rPh>
    <rPh sb="106" eb="108">
      <t>ジッシ</t>
    </rPh>
    <phoneticPr fontId="4"/>
  </si>
  <si>
    <t>１．認可サーバーに全スコープ（READ/CREATE/UPDATE/DELETE）に対する権限を持つClientを作成済みであること
２．上記Clientを使用可能なユーザが認可サーバーに登録されていること
３．TODOタスクを作成済み
４．TODO一覧画面を表示済み</t>
    <rPh sb="2" eb="4">
      <t>ニンカ</t>
    </rPh>
    <rPh sb="9" eb="10">
      <t>ゼン</t>
    </rPh>
    <rPh sb="42" eb="43">
      <t>タイ</t>
    </rPh>
    <rPh sb="45" eb="47">
      <t>ケンゲン</t>
    </rPh>
    <rPh sb="48" eb="49">
      <t>モ</t>
    </rPh>
    <rPh sb="57" eb="59">
      <t>サクセイ</t>
    </rPh>
    <rPh sb="59" eb="60">
      <t>ズ</t>
    </rPh>
    <rPh sb="69" eb="71">
      <t>ジョウキ</t>
    </rPh>
    <rPh sb="78" eb="80">
      <t>シヨウ</t>
    </rPh>
    <rPh sb="80" eb="82">
      <t>カノウ</t>
    </rPh>
    <rPh sb="87" eb="89">
      <t>ニンカ</t>
    </rPh>
    <rPh sb="94" eb="96">
      <t>トウロク</t>
    </rPh>
    <phoneticPr fontId="4"/>
  </si>
  <si>
    <t xml:space="preserve">１．TODO一覧画面からTODOタスクを更新する
</t>
    <rPh sb="6" eb="8">
      <t>イチラン</t>
    </rPh>
    <rPh sb="8" eb="10">
      <t>ガメン</t>
    </rPh>
    <rPh sb="20" eb="22">
      <t>コウシン</t>
    </rPh>
    <phoneticPr fontId="4"/>
  </si>
  <si>
    <t>・ログに全スコープを対象としていることが表示されること
・ログに作成成功が出力されていること
・作成したタスクがTODO一覧画面に表示されていること</t>
    <rPh sb="32" eb="34">
      <t>サクセイ</t>
    </rPh>
    <rPh sb="34" eb="36">
      <t>セイコウ</t>
    </rPh>
    <rPh sb="37" eb="39">
      <t>シュツリョク</t>
    </rPh>
    <rPh sb="48" eb="50">
      <t>サクセイ</t>
    </rPh>
    <rPh sb="60" eb="62">
      <t>イチラン</t>
    </rPh>
    <rPh sb="62" eb="64">
      <t>ガメン</t>
    </rPh>
    <rPh sb="65" eb="67">
      <t>ヒョウジ</t>
    </rPh>
    <phoneticPr fontId="4"/>
  </si>
  <si>
    <t>・ログに全スコープを対象としていることが表示されること
・ログに更新成功が出力されていること
・タスクのFinishボタンが削除されていること
※タスクに取り消し線が付くとともにボタンが消える</t>
    <rPh sb="32" eb="34">
      <t>コウシン</t>
    </rPh>
    <rPh sb="34" eb="36">
      <t>セイコウ</t>
    </rPh>
    <rPh sb="37" eb="39">
      <t>シュツリョク</t>
    </rPh>
    <rPh sb="62" eb="64">
      <t>サクジョ</t>
    </rPh>
    <rPh sb="77" eb="78">
      <t>ト</t>
    </rPh>
    <rPh sb="79" eb="80">
      <t>ケ</t>
    </rPh>
    <rPh sb="81" eb="82">
      <t>セン</t>
    </rPh>
    <rPh sb="83" eb="84">
      <t>ツ</t>
    </rPh>
    <rPh sb="93" eb="94">
      <t>キ</t>
    </rPh>
    <phoneticPr fontId="4"/>
  </si>
  <si>
    <t>・認可コードグラントで認可処理を行う
・認可サーバーのClientは全スコープを許可する
・アプリ側で作成するClientは全スコープを対象とする
・リソースサーバー側でintercept-urlを使用した認可を実施
・DELETEスコープでリソースサーバーにアクセスする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99" eb="101">
      <t>シヨウ</t>
    </rPh>
    <rPh sb="103" eb="105">
      <t>ニンカ</t>
    </rPh>
    <rPh sb="106" eb="108">
      <t>ジッシ</t>
    </rPh>
    <phoneticPr fontId="4"/>
  </si>
  <si>
    <t xml:space="preserve">１．TODO一覧画面からTODOタスクをs削除する
</t>
    <rPh sb="6" eb="8">
      <t>イチラン</t>
    </rPh>
    <rPh sb="8" eb="10">
      <t>ガメン</t>
    </rPh>
    <rPh sb="21" eb="23">
      <t>サクジョ</t>
    </rPh>
    <phoneticPr fontId="4"/>
  </si>
  <si>
    <t>・ログに全スコープを対象としていることが表示されること
・ログに削除成功が出力されていること
・タスクがTODO一覧画面から消えていること</t>
    <rPh sb="32" eb="34">
      <t>サクジョ</t>
    </rPh>
    <rPh sb="34" eb="36">
      <t>セイコウ</t>
    </rPh>
    <rPh sb="37" eb="39">
      <t>シュツリョク</t>
    </rPh>
    <rPh sb="56" eb="58">
      <t>イチラン</t>
    </rPh>
    <rPh sb="58" eb="60">
      <t>ガメン</t>
    </rPh>
    <rPh sb="62" eb="63">
      <t>キ</t>
    </rPh>
    <phoneticPr fontId="4"/>
  </si>
  <si>
    <t>OTH20101</t>
    <phoneticPr fontId="4"/>
  </si>
  <si>
    <t>・認可コードグラントで認可処理を行う
・認可サーバーのClientはREADスコープのみを許可する
・アプリ側で作成するClientは全スコープを対象とする
・リソースサーバー側でintercept-urlを使用した認可を実施
・READスコープでリソースサーバーにアクセスする</t>
    <rPh sb="1" eb="3">
      <t>ニンカ</t>
    </rPh>
    <rPh sb="11" eb="13">
      <t>ニンカ</t>
    </rPh>
    <rPh sb="13" eb="15">
      <t>ショリ</t>
    </rPh>
    <rPh sb="16" eb="17">
      <t>オコナ</t>
    </rPh>
    <rPh sb="20" eb="22">
      <t>ニンカ</t>
    </rPh>
    <rPh sb="45" eb="47">
      <t>キョカ</t>
    </rPh>
    <rPh sb="54" eb="55">
      <t>ガワ</t>
    </rPh>
    <rPh sb="56" eb="58">
      <t>サクセイ</t>
    </rPh>
    <rPh sb="67" eb="68">
      <t>ゼン</t>
    </rPh>
    <rPh sb="73" eb="75">
      <t>タイショウ</t>
    </rPh>
    <rPh sb="88" eb="89">
      <t>ガワ</t>
    </rPh>
    <rPh sb="104" eb="106">
      <t>シヨウ</t>
    </rPh>
    <rPh sb="108" eb="110">
      <t>ニンカ</t>
    </rPh>
    <rPh sb="111" eb="113">
      <t>ジッシ</t>
    </rPh>
    <phoneticPr fontId="4"/>
  </si>
  <si>
    <t>１．認可サーバーにREADスコープに対する権限を持つClientを作成済みであること
２．上記Clientを使用可能なユーザが認可サーバーに登録されていること
３．TODO一覧画面を表示済み</t>
    <rPh sb="2" eb="4">
      <t>ニンカ</t>
    </rPh>
    <rPh sb="18" eb="19">
      <t>タイ</t>
    </rPh>
    <rPh sb="21" eb="23">
      <t>ケンゲン</t>
    </rPh>
    <rPh sb="24" eb="25">
      <t>モ</t>
    </rPh>
    <rPh sb="33" eb="35">
      <t>サクセイ</t>
    </rPh>
    <rPh sb="35" eb="36">
      <t>ズ</t>
    </rPh>
    <rPh sb="45" eb="47">
      <t>ジョウキ</t>
    </rPh>
    <rPh sb="54" eb="56">
      <t>シヨウ</t>
    </rPh>
    <rPh sb="56" eb="58">
      <t>カノウ</t>
    </rPh>
    <rPh sb="63" eb="65">
      <t>ニンカ</t>
    </rPh>
    <rPh sb="70" eb="72">
      <t>トウロク</t>
    </rPh>
    <rPh sb="86" eb="88">
      <t>イチラン</t>
    </rPh>
    <rPh sb="88" eb="90">
      <t>ガメン</t>
    </rPh>
    <rPh sb="91" eb="93">
      <t>ヒョウジ</t>
    </rPh>
    <rPh sb="93" eb="94">
      <t>ズ</t>
    </rPh>
    <phoneticPr fontId="4"/>
  </si>
  <si>
    <t>・認可コードグラントで認可処理を行う
・認可サーバーのClientはREADスコープのみを許可する
・アプリ側で作成するClientはREADスコープを対象とする
・リソースサーバー側でintercept-urlを使用した認可を実施
・CREATEスコープでリソースサーバーにアクセスする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07" eb="109">
      <t>シヨウ</t>
    </rPh>
    <rPh sb="111" eb="113">
      <t>ニンカ</t>
    </rPh>
    <rPh sb="114" eb="116">
      <t>ジッシ</t>
    </rPh>
    <phoneticPr fontId="4"/>
  </si>
  <si>
    <t>・認可コードグラントで認可処理を行う
・認可サーバーのClientはREADスコープのみを許可する
・アプリ側で作成するClientはREADスコープを対象とする
・リソースサーバー側でintercept-urlを使用した認可を実施
・UPDATEスコープでリソースサーバーにアクセスする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07" eb="109">
      <t>シヨウ</t>
    </rPh>
    <rPh sb="111" eb="113">
      <t>ニンカ</t>
    </rPh>
    <rPh sb="114" eb="116">
      <t>ジッシ</t>
    </rPh>
    <phoneticPr fontId="4"/>
  </si>
  <si>
    <t>・認可コードグラントで認可処理を行う
・認可サーバーのClientはREADスコープのみを許可する
・アプリ側で作成するClientはREADスコープを対象とする
・リソースサーバー側でintercept-urlを使用した認可を実施
・DELETEスコープでリソースサーバーにアクセスする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07" eb="109">
      <t>シヨウ</t>
    </rPh>
    <rPh sb="111" eb="113">
      <t>ニンカ</t>
    </rPh>
    <rPh sb="114" eb="116">
      <t>ジッシ</t>
    </rPh>
    <phoneticPr fontId="4"/>
  </si>
  <si>
    <t>・認可コードグラントで認可処理を行う
・認可サーバーのClientは全スコープを許可する
・アプリ側で作成するClientは全スコープを対象とする
・リソースサーバー側でMethodAnnotationを使用した認可を実施
・READスコープでリソースサーバーにアクセスする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102" eb="104">
      <t>シヨウ</t>
    </rPh>
    <rPh sb="106" eb="108">
      <t>ニンカ</t>
    </rPh>
    <rPh sb="109" eb="111">
      <t>ジッシ</t>
    </rPh>
    <phoneticPr fontId="4"/>
  </si>
  <si>
    <t>・認可コードグラントで認可処理を行う
・認可サーバーのClientは全スコープを許可する
・アプリ側で作成するClientは全スコープを対象とする
・リソースサーバー側でMethodAnnotationを使用した認可を実施
・CREATEスコープでリソースサーバーにアクセスする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102" eb="104">
      <t>シヨウ</t>
    </rPh>
    <rPh sb="106" eb="108">
      <t>ニンカ</t>
    </rPh>
    <rPh sb="109" eb="111">
      <t>ジッシ</t>
    </rPh>
    <phoneticPr fontId="4"/>
  </si>
  <si>
    <t>・認可コードグラントで認可処理を行う
・認可サーバーのClientは全スコープを許可する
・アプリ側で作成するClientは全スコープを対象とする
・リソースサーバー側でMethodAnnotationを使用した認可を実施
・UPDATEスコープでリソースサーバーにアクセスする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102" eb="104">
      <t>シヨウ</t>
    </rPh>
    <rPh sb="106" eb="108">
      <t>ニンカ</t>
    </rPh>
    <rPh sb="109" eb="111">
      <t>ジッシ</t>
    </rPh>
    <phoneticPr fontId="4"/>
  </si>
  <si>
    <t>・認可コードグラントで認可処理を行う
・認可サーバーのClientは全スコープを許可する
・アプリ側で作成するClientは全スコープを対象とする
・リソースサーバー側でMethodAnnotationを使用した認可を実施
・DELETEスコープでリソースサーバーにアクセスする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62" eb="63">
      <t>ゼン</t>
    </rPh>
    <rPh sb="68" eb="70">
      <t>タイショウ</t>
    </rPh>
    <rPh sb="83" eb="84">
      <t>ガワ</t>
    </rPh>
    <rPh sb="102" eb="104">
      <t>シヨウ</t>
    </rPh>
    <rPh sb="106" eb="108">
      <t>ニンカ</t>
    </rPh>
    <rPh sb="109" eb="111">
      <t>ジッシ</t>
    </rPh>
    <phoneticPr fontId="4"/>
  </si>
  <si>
    <t>・認可コードグラントで認可処理を行う
・認可サーバーのClientはREADスコープのみを許可する
・アプリ側で作成するClientはREADスコープを対象とする
・リソースサーバー側でMethodAnnotationを使用した認可を実施
・DELETEスコープでリソースサーバーにアクセスする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10" eb="112">
      <t>シヨウ</t>
    </rPh>
    <rPh sb="114" eb="116">
      <t>ニンカ</t>
    </rPh>
    <rPh sb="117" eb="119">
      <t>ジッシ</t>
    </rPh>
    <phoneticPr fontId="4"/>
  </si>
  <si>
    <t>・認可コードグラントで認可処理を行う
・認可サーバーのClientはREADスコープのみを許可する
・アプリ側で作成するClientはREADスコープを対象とする
・リソースサーバー側でMethodAnnotationを使用した認可を実施
・READスコープでリソースサーバーにアクセスする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10" eb="112">
      <t>シヨウ</t>
    </rPh>
    <rPh sb="114" eb="116">
      <t>ニンカ</t>
    </rPh>
    <rPh sb="117" eb="119">
      <t>ジッシ</t>
    </rPh>
    <phoneticPr fontId="4"/>
  </si>
  <si>
    <t>・認可コードグラントで認可処理を行う
・認可サーバーのClientはREADスコープのみを許可する
・アプリ側で作成するClientはREADスコープを対象とする
・リソースサーバー側でMethodAnnotationを使用した認可を実施
・CREATEスコープでリソースサーバーにアクセスする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10" eb="112">
      <t>シヨウ</t>
    </rPh>
    <rPh sb="114" eb="116">
      <t>ニンカ</t>
    </rPh>
    <rPh sb="117" eb="119">
      <t>ジッシ</t>
    </rPh>
    <phoneticPr fontId="4"/>
  </si>
  <si>
    <t>・認可コードグラントで認可処理を行う
・認可サーバーのClientはREADスコープのみを許可する
・アプリ側で作成するClientはREADスコープを対象とする
・リソースサーバー側でMethodAnnotationを使用した認可を実施
・UPDATEスコープでリソースサーバーにアクセスする</t>
    <rPh sb="1" eb="3">
      <t>ニンカ</t>
    </rPh>
    <rPh sb="11" eb="13">
      <t>ニンカ</t>
    </rPh>
    <rPh sb="13" eb="15">
      <t>ショリ</t>
    </rPh>
    <rPh sb="16" eb="17">
      <t>オコナ</t>
    </rPh>
    <rPh sb="54" eb="55">
      <t>ガワ</t>
    </rPh>
    <rPh sb="56" eb="58">
      <t>サクセイ</t>
    </rPh>
    <rPh sb="76" eb="78">
      <t>タイショウ</t>
    </rPh>
    <rPh sb="91" eb="92">
      <t>ガワ</t>
    </rPh>
    <rPh sb="110" eb="112">
      <t>シヨウ</t>
    </rPh>
    <rPh sb="114" eb="116">
      <t>ニンカ</t>
    </rPh>
    <rPh sb="117" eb="119">
      <t>ジッシ</t>
    </rPh>
    <phoneticPr fontId="4"/>
  </si>
  <si>
    <t>１．認可サーバーにREADスコープに対する権限を持つClientを作成済みであること
２．上記Clientを使用可能なユーザが認可サーバーに登録されていること</t>
    <rPh sb="45" eb="47">
      <t>ジョウキ</t>
    </rPh>
    <rPh sb="54" eb="56">
      <t>シヨウ</t>
    </rPh>
    <rPh sb="56" eb="58">
      <t>カノウ</t>
    </rPh>
    <rPh sb="63" eb="65">
      <t>ニンカ</t>
    </rPh>
    <rPh sb="70" eb="72">
      <t>トウロク</t>
    </rPh>
    <phoneticPr fontId="4"/>
  </si>
  <si>
    <t>１．認可サーバーにREADスコープに対する権限を持つClientを作成済みであること
２．上記Clientを使用可能なユーザが認可サーバーに登録されていること
３．TODOタスクを作成済み
４．TODO一覧画面を表示済み</t>
    <rPh sb="45" eb="47">
      <t>ジョウキ</t>
    </rPh>
    <rPh sb="54" eb="56">
      <t>シヨウ</t>
    </rPh>
    <rPh sb="56" eb="58">
      <t>カノウ</t>
    </rPh>
    <rPh sb="63" eb="65">
      <t>ニンカ</t>
    </rPh>
    <rPh sb="70" eb="72">
      <t>トウロク</t>
    </rPh>
    <phoneticPr fontId="4"/>
  </si>
  <si>
    <t>１．認可サーバーにREADスコープに対する権限を持つClientを作成済みであること
２．上記Clientを使用可能なユーザが認可サーバーに登録されていること
３．TODO一覧画面を表示済み</t>
    <rPh sb="45" eb="47">
      <t>ジョウキ</t>
    </rPh>
    <rPh sb="54" eb="56">
      <t>シヨウ</t>
    </rPh>
    <rPh sb="56" eb="58">
      <t>カノウ</t>
    </rPh>
    <rPh sb="63" eb="65">
      <t>ニンカ</t>
    </rPh>
    <rPh sb="70" eb="72">
      <t>トウロク</t>
    </rPh>
    <rPh sb="86" eb="88">
      <t>イチラン</t>
    </rPh>
    <rPh sb="88" eb="90">
      <t>ガメン</t>
    </rPh>
    <rPh sb="91" eb="93">
      <t>ヒョウジ</t>
    </rPh>
    <rPh sb="93" eb="94">
      <t>ズ</t>
    </rPh>
    <phoneticPr fontId="4"/>
  </si>
  <si>
    <t>・ログにREADスコープを対象としていることが表示されること
・TODO一覧画面が表示できること。</t>
    <phoneticPr fontId="4"/>
  </si>
  <si>
    <t>簡単に記載すると、認可サーバーに登録されたClientが許可しているスコープ × クライアントアプリが設定したスコープで決定される。</t>
    <rPh sb="0" eb="2">
      <t>カンタン</t>
    </rPh>
    <rPh sb="3" eb="5">
      <t>キサイ</t>
    </rPh>
    <rPh sb="9" eb="11">
      <t>ニンカ</t>
    </rPh>
    <rPh sb="16" eb="18">
      <t>トウロク</t>
    </rPh>
    <rPh sb="28" eb="30">
      <t>キョカ</t>
    </rPh>
    <rPh sb="51" eb="53">
      <t>セッテイ</t>
    </rPh>
    <rPh sb="60" eb="62">
      <t>ケッテイ</t>
    </rPh>
    <phoneticPr fontId="4"/>
  </si>
  <si>
    <t>・ログにREADスコープを対象としていることが表示されること
・403エラーが返却されること
・TODO一覧画面にタスクが作成されていないこと</t>
    <rPh sb="39" eb="41">
      <t>ヘンキャク</t>
    </rPh>
    <rPh sb="61" eb="63">
      <t>サクセイ</t>
    </rPh>
    <phoneticPr fontId="4"/>
  </si>
  <si>
    <t>・ログにREADスコープを対象としていることが表示されること
・403エラーが返却されること
・TODO一覧画面でタスクが更新されていないこと</t>
    <rPh sb="39" eb="41">
      <t>ヘンキャク</t>
    </rPh>
    <rPh sb="61" eb="63">
      <t>コウシン</t>
    </rPh>
    <phoneticPr fontId="4"/>
  </si>
  <si>
    <t>・ログにREADスコープを対象としていることが表示されること
・403エラーが返却されること
・TODO一覧画面でタスクが削除されていないこと</t>
    <rPh sb="39" eb="41">
      <t>ヘンキャク</t>
    </rPh>
    <rPh sb="61" eb="63">
      <t>サクジョ</t>
    </rPh>
    <phoneticPr fontId="4"/>
  </si>
  <si>
    <t>・認可コードグラント
・全スコープ × 全スコープ
・GET(intercepturl)</t>
    <rPh sb="1" eb="3">
      <t>ニンカ</t>
    </rPh>
    <rPh sb="12" eb="13">
      <t>ゼン</t>
    </rPh>
    <rPh sb="20" eb="21">
      <t>ゼン</t>
    </rPh>
    <phoneticPr fontId="4"/>
  </si>
  <si>
    <t>・認可コードグラント
・全スコープ × 全スコープ
・POST(intercepturl)</t>
    <rPh sb="1" eb="3">
      <t>ニンカ</t>
    </rPh>
    <phoneticPr fontId="4"/>
  </si>
  <si>
    <t>・認可コードグラント
・全スコープ × 全スコープ
・PUT(intercepturl)</t>
    <rPh sb="1" eb="3">
      <t>ニンカ</t>
    </rPh>
    <phoneticPr fontId="4"/>
  </si>
  <si>
    <t>・認可コードグラント
・全スコープ × 全スコープ
・DELETE(intercepturl)</t>
    <rPh sb="1" eb="3">
      <t>ニンカ</t>
    </rPh>
    <phoneticPr fontId="4"/>
  </si>
  <si>
    <t>・認可コードグラント
・全スコープ × 全スコープ
・GET(MethodAnnotation)</t>
    <rPh sb="1" eb="3">
      <t>ニンカ</t>
    </rPh>
    <phoneticPr fontId="4"/>
  </si>
  <si>
    <t>・認可コードグラント
・全スコープ × 全スコープ
・POST(MethodAnnotation)</t>
    <rPh sb="1" eb="3">
      <t>ニンカ</t>
    </rPh>
    <phoneticPr fontId="4"/>
  </si>
  <si>
    <t>・認可コードグラント
・全スコープ × 全スコープ
・PUT(MethodAnnotation)</t>
    <rPh sb="1" eb="3">
      <t>ニンカ</t>
    </rPh>
    <phoneticPr fontId="4"/>
  </si>
  <si>
    <t>・認可コードグラント
・全スコープ × 全スコープ
・DELETE(MethodAnnotation)</t>
    <rPh sb="1" eb="3">
      <t>ニンカ</t>
    </rPh>
    <phoneticPr fontId="4"/>
  </si>
  <si>
    <t>・認可コードグラント
・READスコープ × READスコープ
・GET(intercepturl)</t>
    <rPh sb="1" eb="3">
      <t>ニンカ</t>
    </rPh>
    <phoneticPr fontId="4"/>
  </si>
  <si>
    <t>・認可コードグラント
・READスコープ × READスコープ
・POST(intercepturl)</t>
    <rPh sb="1" eb="3">
      <t>ニンカ</t>
    </rPh>
    <phoneticPr fontId="4"/>
  </si>
  <si>
    <t>・認可コードグラント
・READスコープ × READスコープ
・PUT(intercepturl)</t>
    <rPh sb="1" eb="3">
      <t>ニンカ</t>
    </rPh>
    <phoneticPr fontId="4"/>
  </si>
  <si>
    <t>・認可コードグラント
・READスコープ × READスコープ
・DELETE(intercepturl)</t>
    <rPh sb="1" eb="3">
      <t>ニンカ</t>
    </rPh>
    <phoneticPr fontId="4"/>
  </si>
  <si>
    <t>・認可コードグラント
・READスコープ × READスコープ
・GET(MethodAnnotation)</t>
    <rPh sb="1" eb="3">
      <t>ニンカ</t>
    </rPh>
    <phoneticPr fontId="4"/>
  </si>
  <si>
    <t>・認可コードグラント
・READスコープ × READスコープ
・POST(MethodAnnotation)</t>
    <rPh sb="1" eb="3">
      <t>ニンカ</t>
    </rPh>
    <phoneticPr fontId="4"/>
  </si>
  <si>
    <t>・認可コードグラント
・READスコープ × READスコープ
・PUT(MethodAnnotation)</t>
    <rPh sb="1" eb="3">
      <t>ニンカ</t>
    </rPh>
    <phoneticPr fontId="4"/>
  </si>
  <si>
    <t>・認可コードグラント
・READスコープ × READスコープ
・DELETE(MethodAnnotation)</t>
    <rPh sb="1" eb="3">
      <t>ニンカ</t>
    </rPh>
    <phoneticPr fontId="4"/>
  </si>
  <si>
    <t>・認可コードグラント
・READスコープ × READ,UPDATEスコープ
・GET(intercepturl)</t>
    <rPh sb="1" eb="3">
      <t>ニンカ</t>
    </rPh>
    <phoneticPr fontId="4"/>
  </si>
  <si>
    <t>・認可コードグラント
・READスコープ × READ,UPDATEスコープ
・GET(MethodAnnotation)</t>
    <rPh sb="1" eb="3">
      <t>ニンカ</t>
    </rPh>
    <phoneticPr fontId="4"/>
  </si>
  <si>
    <t>・認可コードグラントで認可処理を行う
・認可サーバーのClientはREADスコープのみを許可する
・アプリ側で作成するClientはREADスコープとUPDATEスコープを対象とする
・リソースサーバー側でintercept-urlを使用した認可を実施
・READスコープでリソースサーバーにアクセスする</t>
    <rPh sb="1" eb="3">
      <t>ニンカ</t>
    </rPh>
    <rPh sb="11" eb="13">
      <t>ニンカ</t>
    </rPh>
    <rPh sb="13" eb="15">
      <t>ショリ</t>
    </rPh>
    <rPh sb="16" eb="17">
      <t>オコナ</t>
    </rPh>
    <rPh sb="54" eb="55">
      <t>ガワ</t>
    </rPh>
    <rPh sb="56" eb="58">
      <t>サクセイ</t>
    </rPh>
    <rPh sb="87" eb="89">
      <t>タイショウ</t>
    </rPh>
    <rPh sb="102" eb="103">
      <t>ガワ</t>
    </rPh>
    <rPh sb="118" eb="120">
      <t>シヨウ</t>
    </rPh>
    <rPh sb="122" eb="124">
      <t>ニンカ</t>
    </rPh>
    <rPh sb="125" eb="127">
      <t>ジッシ</t>
    </rPh>
    <phoneticPr fontId="4"/>
  </si>
  <si>
    <t>・認可コードグラントで認可処理を行う
・認可サーバーのClientはREADスコープのみを許可する
・アプリ側で作成するClientはREADスコープとUPDATEスコープを対象とする
・リソースサーバー側でMethodAnnotationを使用した認可を実施
・READスコープでリソースサーバーにアクセスする</t>
    <rPh sb="1" eb="3">
      <t>ニンカ</t>
    </rPh>
    <rPh sb="11" eb="13">
      <t>ニンカ</t>
    </rPh>
    <rPh sb="13" eb="15">
      <t>ショリ</t>
    </rPh>
    <rPh sb="16" eb="17">
      <t>オコナ</t>
    </rPh>
    <rPh sb="102" eb="103">
      <t>ガワ</t>
    </rPh>
    <rPh sb="121" eb="123">
      <t>シヨウ</t>
    </rPh>
    <rPh sb="125" eb="127">
      <t>ニンカ</t>
    </rPh>
    <rPh sb="128" eb="130">
      <t>ジッシ</t>
    </rPh>
    <phoneticPr fontId="4"/>
  </si>
  <si>
    <t xml:space="preserve">１．認可サーバーにREADスコープに対する権限を持つClientを作成済みであること
２．上記Clientを使用可能なユーザが認可サーバーに登録されていること
</t>
    <rPh sb="45" eb="47">
      <t>ジョウキ</t>
    </rPh>
    <rPh sb="54" eb="56">
      <t>シヨウ</t>
    </rPh>
    <rPh sb="56" eb="58">
      <t>カノウ</t>
    </rPh>
    <rPh sb="63" eb="65">
      <t>ニンカ</t>
    </rPh>
    <rPh sb="70" eb="72">
      <t>トウロク</t>
    </rPh>
    <phoneticPr fontId="4"/>
  </si>
  <si>
    <r>
      <t xml:space="preserve">・Resource Not Found画面へ遷移すること
</t>
    </r>
    <r>
      <rPr>
        <b/>
        <sz val="11"/>
        <rFont val="ＭＳ Ｐゴシック"/>
        <family val="3"/>
        <charset val="128"/>
      </rPr>
      <t>※手動確認</t>
    </r>
    <r>
      <rPr>
        <sz val="11"/>
        <rFont val="ＭＳ Ｐゴシック"/>
        <family val="3"/>
        <charset val="128"/>
      </rPr>
      <t xml:space="preserve">
認可サーバーのログに以下が出力されること
KC-SERVICES0093: Invalid parameter value for: scope</t>
    </r>
    <rPh sb="19" eb="21">
      <t>ガメン</t>
    </rPh>
    <rPh sb="22" eb="24">
      <t>センイ</t>
    </rPh>
    <rPh sb="31" eb="33">
      <t>シュドウ</t>
    </rPh>
    <rPh sb="33" eb="35">
      <t>カクニン</t>
    </rPh>
    <rPh sb="36" eb="38">
      <t>ニンカ</t>
    </rPh>
    <rPh sb="46" eb="48">
      <t>イカ</t>
    </rPh>
    <rPh sb="49" eb="51">
      <t>シュツリョク</t>
    </rPh>
    <phoneticPr fontId="4"/>
  </si>
  <si>
    <t>なお、認可サーバーで許可していないスコープをクライアントアプリ側が設定してきた場合は、認可サーバーからトークンが取得できずエラーとなる。</t>
    <rPh sb="3" eb="5">
      <t>ニンカ</t>
    </rPh>
    <rPh sb="10" eb="12">
      <t>キョカ</t>
    </rPh>
    <rPh sb="31" eb="32">
      <t>ガワ</t>
    </rPh>
    <rPh sb="33" eb="35">
      <t>セッテイ</t>
    </rPh>
    <rPh sb="39" eb="41">
      <t>バアイ</t>
    </rPh>
    <rPh sb="43" eb="45">
      <t>ニンカ</t>
    </rPh>
    <rPh sb="56" eb="58">
      <t>シュトク</t>
    </rPh>
    <phoneticPr fontId="4"/>
  </si>
  <si>
    <t>クライアントエラー</t>
  </si>
  <si>
    <t>・認可コードグラント
・全スコープ × READ,DELETEスコープ
・GET(intercepturl)</t>
    <rPh sb="1" eb="3">
      <t>ニンカ</t>
    </rPh>
    <rPh sb="12" eb="13">
      <t>ゼン</t>
    </rPh>
    <phoneticPr fontId="4"/>
  </si>
  <si>
    <t>・認可コードグラント
・全スコープ × READ,DELETEスコープ
・POST(intercepturl)</t>
    <rPh sb="1" eb="3">
      <t>ニンカ</t>
    </rPh>
    <phoneticPr fontId="4"/>
  </si>
  <si>
    <t>・認可コードグラント
・全スコープ × READ,DELETEスコープ
・PUT(intercepturl)</t>
    <rPh sb="1" eb="3">
      <t>ニンカ</t>
    </rPh>
    <phoneticPr fontId="4"/>
  </si>
  <si>
    <t>・認可コードグラント
・全スコープ × READ,DELETEスコープ
・DELETE(intercepturl)</t>
    <rPh sb="1" eb="3">
      <t>ニンカ</t>
    </rPh>
    <phoneticPr fontId="4"/>
  </si>
  <si>
    <t>・認可コードグラント
・全スコープ × READ,DELETEスコープ
・GET(MethodAnnotation)</t>
    <rPh sb="1" eb="3">
      <t>ニンカ</t>
    </rPh>
    <phoneticPr fontId="4"/>
  </si>
  <si>
    <t>・認可コードグラント
・全スコープ × READ,DELETEスコープ
・POST(MethodAnnotation)</t>
    <rPh sb="1" eb="3">
      <t>ニンカ</t>
    </rPh>
    <phoneticPr fontId="4"/>
  </si>
  <si>
    <t>・認可コードグラント
・全スコープ × READ,DELETEスコープ
・PUT(MethodAnnotation)</t>
    <rPh sb="1" eb="3">
      <t>ニンカ</t>
    </rPh>
    <phoneticPr fontId="4"/>
  </si>
  <si>
    <t>・認可コードグラント
・全スコープ × READ,DELETEスコープ
・DELETE(MethodAnnotation)</t>
    <rPh sb="1" eb="3">
      <t>ニンカ</t>
    </rPh>
    <phoneticPr fontId="4"/>
  </si>
  <si>
    <t>・認可コードグラントで認可処理を行う
・認可サーバーのClientは全スコープを許可する
・アプリ側で作成するClientはREADスコープとDELETEスコープを対象とする
・リソースサーバー側でintercept-urlを使用した認可を実施
・READスコープでリソースサーバーにアクセスする</t>
    <rPh sb="1" eb="3">
      <t>ニンカ</t>
    </rPh>
    <rPh sb="11" eb="13">
      <t>ニンカ</t>
    </rPh>
    <rPh sb="13" eb="15">
      <t>ショリ</t>
    </rPh>
    <rPh sb="16" eb="17">
      <t>オコナ</t>
    </rPh>
    <rPh sb="20" eb="22">
      <t>ニンカ</t>
    </rPh>
    <rPh sb="34" eb="35">
      <t>ゼン</t>
    </rPh>
    <rPh sb="40" eb="42">
      <t>キョカ</t>
    </rPh>
    <rPh sb="49" eb="50">
      <t>ガワ</t>
    </rPh>
    <rPh sb="51" eb="53">
      <t>サクセイ</t>
    </rPh>
    <rPh sb="82" eb="84">
      <t>タイショウ</t>
    </rPh>
    <rPh sb="97" eb="98">
      <t>ガワ</t>
    </rPh>
    <rPh sb="113" eb="115">
      <t>シヨウ</t>
    </rPh>
    <rPh sb="117" eb="119">
      <t>ニンカ</t>
    </rPh>
    <rPh sb="120" eb="122">
      <t>ジッシ</t>
    </rPh>
    <phoneticPr fontId="4"/>
  </si>
  <si>
    <t>・認可コードグラントで認可処理を行う
・認可サーバーのClientは全スコープを許可する
・アプリ側で作成するClientはREADスコープとDELETEスコープを対象とする
・リソースサーバー側でintercept-urlを使用した認可を実施
・CREATEスコープでリソースサーバーにアクセスする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3" eb="115">
      <t>シヨウ</t>
    </rPh>
    <rPh sb="117" eb="119">
      <t>ニンカ</t>
    </rPh>
    <rPh sb="120" eb="122">
      <t>ジッシ</t>
    </rPh>
    <phoneticPr fontId="4"/>
  </si>
  <si>
    <t>・認可コードグラントで認可処理を行う
・認可サーバーのClientは全スコープを許可する
・アプリ側で作成するClientはREADスコープとDELETEスコープを対象とする
・リソースサーバー側でintercept-urlを使用した認可を実施
・UPDATEスコープでリソースサーバーにアクセスする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3" eb="115">
      <t>シヨウ</t>
    </rPh>
    <rPh sb="117" eb="119">
      <t>ニンカ</t>
    </rPh>
    <rPh sb="120" eb="122">
      <t>ジッシ</t>
    </rPh>
    <phoneticPr fontId="4"/>
  </si>
  <si>
    <t>・認可コードグラントで認可処理を行う
・認可サーバーのClientは全スコープを許可する
・アプリ側で作成するClientはREADスコープとDELETEスコープを対象とする
・リソースサーバー側でintercept-urlを使用した認可を実施
・DELETEスコープでリソースサーバーにアクセスする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3" eb="115">
      <t>シヨウ</t>
    </rPh>
    <rPh sb="117" eb="119">
      <t>ニンカ</t>
    </rPh>
    <rPh sb="120" eb="122">
      <t>ジッシ</t>
    </rPh>
    <phoneticPr fontId="4"/>
  </si>
  <si>
    <t>・認可コードグラントで認可処理を行う
・認可サーバーのClientは全スコープを許可する
・アプリ側で作成するClientはREADスコープとDELETEスコープを対象とする
・リソースサーバー側でMethodAnnotationを使用した認可を実施
・READスコープでリソースサーバーにアクセスする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6" eb="118">
      <t>シヨウ</t>
    </rPh>
    <rPh sb="120" eb="122">
      <t>ニンカ</t>
    </rPh>
    <rPh sb="123" eb="125">
      <t>ジッシ</t>
    </rPh>
    <phoneticPr fontId="4"/>
  </si>
  <si>
    <t>・認可コードグラントで認可処理を行う
・認可サーバーのClientは全スコープを許可する
・アプリ側で作成するClientはREADスコープとDELETEスコープを対象とする
・リソースサーバー側でMethodAnnotationを使用した認可を実施
・CREATEスコープでリソースサーバーにアクセスする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6" eb="118">
      <t>シヨウ</t>
    </rPh>
    <rPh sb="120" eb="122">
      <t>ニンカ</t>
    </rPh>
    <rPh sb="123" eb="125">
      <t>ジッシ</t>
    </rPh>
    <phoneticPr fontId="4"/>
  </si>
  <si>
    <t>・認可コードグラントで認可処理を行う
・認可サーバーのClientは全スコープを許可する
・アプリ側で作成するClientはREADスコープとDELETEスコープを対象とする
・リソースサーバー側でMethodAnnotationを使用した認可を実施
・UPDATEスコープでリソースサーバーにアクセスする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6" eb="118">
      <t>シヨウ</t>
    </rPh>
    <rPh sb="120" eb="122">
      <t>ニンカ</t>
    </rPh>
    <rPh sb="123" eb="125">
      <t>ジッシ</t>
    </rPh>
    <phoneticPr fontId="4"/>
  </si>
  <si>
    <t>・認可コードグラントで認可処理を行う
・認可サーバーのClientは全スコープを許可する
・アプリ側で作成するClientはREADスコープとDELETEスコープを対象とする
・リソースサーバー側でMethodAnnotationを使用した認可を実施
・DELETEスコープでリソースサーバーにアクセスする</t>
    <rPh sb="1" eb="3">
      <t>ニンカ</t>
    </rPh>
    <rPh sb="11" eb="13">
      <t>ニンカ</t>
    </rPh>
    <rPh sb="13" eb="15">
      <t>ショリ</t>
    </rPh>
    <rPh sb="16" eb="17">
      <t>オコナ</t>
    </rPh>
    <rPh sb="20" eb="22">
      <t>ニンカ</t>
    </rPh>
    <rPh sb="34" eb="35">
      <t>ゼン</t>
    </rPh>
    <rPh sb="40" eb="42">
      <t>キョカ</t>
    </rPh>
    <rPh sb="97" eb="98">
      <t>ガワ</t>
    </rPh>
    <rPh sb="116" eb="118">
      <t>シヨウ</t>
    </rPh>
    <rPh sb="120" eb="122">
      <t>ニンカ</t>
    </rPh>
    <rPh sb="123" eb="125">
      <t>ジッシ</t>
    </rPh>
    <phoneticPr fontId="4"/>
  </si>
  <si>
    <t>・ログにREADスコープとDELETEスコープを対象としていることが表示されること
・403エラーが返却されること
・TODO一覧画面にタスクが作成されていないこと</t>
    <rPh sb="50" eb="52">
      <t>ヘンキャク</t>
    </rPh>
    <rPh sb="72" eb="74">
      <t>サクセイ</t>
    </rPh>
    <phoneticPr fontId="4"/>
  </si>
  <si>
    <t>・ログにREADスコープとDELETEスコープを対象としていることが表示されること
・403エラーが返却されること
・TODO一覧画面でタスクが更新されていないこと</t>
    <rPh sb="50" eb="52">
      <t>ヘンキャク</t>
    </rPh>
    <rPh sb="72" eb="74">
      <t>コウシン</t>
    </rPh>
    <phoneticPr fontId="4"/>
  </si>
  <si>
    <t>アクセストークン</t>
    <phoneticPr fontId="4"/>
  </si>
  <si>
    <t>認可サーバ側は全スコープを許容するが、クライアント側でスコープを絞っている場合の操作</t>
    <phoneticPr fontId="4"/>
  </si>
  <si>
    <t>設定スコープと認可サーバ側の設定が合わないクライアントに対する操作</t>
    <phoneticPr fontId="4"/>
  </si>
  <si>
    <t>READスコープのみ権限を持つクライアントに対する操作</t>
    <phoneticPr fontId="4"/>
  </si>
  <si>
    <t>全スコープに権限を持つクライアントに対する操作</t>
    <phoneticPr fontId="4"/>
  </si>
  <si>
    <t xml:space="preserve">[目的]
　アクセストークンに関する挙動の確認を行う。
[補足]
　本項における試験条件は以下とする。
　　・認可コードグラント
　　・リソースサーバ～認可サーバ間のアクセストークンの連携方法・・・JWT
</t>
    <rPh sb="21" eb="23">
      <t>カクニン</t>
    </rPh>
    <phoneticPr fontId="4"/>
  </si>
  <si>
    <t>・リフレッシュされない期間に再アクセス</t>
    <rPh sb="11" eb="13">
      <t>キカン</t>
    </rPh>
    <rPh sb="14" eb="15">
      <t>サイ</t>
    </rPh>
    <phoneticPr fontId="4"/>
  </si>
  <si>
    <t>・認可コードグラントで認可処理を行う
・リソースサーバーへアクセス後再アクセスする</t>
    <rPh sb="1" eb="3">
      <t>ニンカ</t>
    </rPh>
    <rPh sb="11" eb="13">
      <t>ニンカ</t>
    </rPh>
    <rPh sb="13" eb="15">
      <t>ショリ</t>
    </rPh>
    <rPh sb="16" eb="17">
      <t>オコナ</t>
    </rPh>
    <rPh sb="33" eb="34">
      <t>ゴ</t>
    </rPh>
    <rPh sb="34" eb="35">
      <t>サイ</t>
    </rPh>
    <phoneticPr fontId="4"/>
  </si>
  <si>
    <t>１．TODO一覧取得処理を行う
２．アクセストークンの有効期限内（0秒 ～ アクセストークンの有効期限-60秒）に再アクセスする</t>
    <rPh sb="6" eb="8">
      <t>イチラン</t>
    </rPh>
    <rPh sb="8" eb="10">
      <t>シュトク</t>
    </rPh>
    <rPh sb="10" eb="12">
      <t>ショリ</t>
    </rPh>
    <rPh sb="13" eb="14">
      <t>オコナ</t>
    </rPh>
    <rPh sb="57" eb="58">
      <t>サイ</t>
    </rPh>
    <phoneticPr fontId="4"/>
  </si>
  <si>
    <t>・アクセストークンが更新されていないこと
・アクセストークンの有効期限が更新されていないこと</t>
    <rPh sb="31" eb="33">
      <t>ユウコウ</t>
    </rPh>
    <rPh sb="33" eb="35">
      <t>キゲン</t>
    </rPh>
    <rPh sb="36" eb="38">
      <t>コウシン</t>
    </rPh>
    <phoneticPr fontId="4"/>
  </si>
  <si>
    <t>・リフレッシュされる期間内に再アクセス</t>
    <rPh sb="10" eb="12">
      <t>キカン</t>
    </rPh>
    <rPh sb="12" eb="13">
      <t>ナイ</t>
    </rPh>
    <rPh sb="14" eb="15">
      <t>サイ</t>
    </rPh>
    <phoneticPr fontId="4"/>
  </si>
  <si>
    <t>１．TODO一覧取得処理を行う
２．リフレッシュトークンが実行される期間内（アクセストークンの有効期限-60秒～リフレッシュトークン有効期限内）に再アクセスする</t>
    <rPh sb="34" eb="37">
      <t>キカンナイ</t>
    </rPh>
    <rPh sb="73" eb="74">
      <t>サイ</t>
    </rPh>
    <phoneticPr fontId="4"/>
  </si>
  <si>
    <t>１．TODO一覧取得処理を行う
２．Clientのアイドル期間外に再アクセスする</t>
    <rPh sb="31" eb="32">
      <t>ガイ</t>
    </rPh>
    <rPh sb="33" eb="34">
      <t>サイ</t>
    </rPh>
    <phoneticPr fontId="4"/>
  </si>
  <si>
    <t>・Clientのアイドル期間外に再アクセス</t>
    <rPh sb="12" eb="14">
      <t>キカン</t>
    </rPh>
    <rPh sb="14" eb="15">
      <t>ガイ</t>
    </rPh>
    <rPh sb="16" eb="17">
      <t>サイ</t>
    </rPh>
    <phoneticPr fontId="4"/>
  </si>
  <si>
    <t>・Clientのセッション保持期間外に再アクセス</t>
    <rPh sb="17" eb="18">
      <t>ガイ</t>
    </rPh>
    <rPh sb="19" eb="20">
      <t>サイ</t>
    </rPh>
    <phoneticPr fontId="4"/>
  </si>
  <si>
    <t>・アクセストークンが更新されていること
・アクセストークンの有効期限が更新されていること
※クライアントアプリで認可サーバーに対し再アクセスを実施している</t>
    <rPh sb="56" eb="58">
      <t>ニンカ</t>
    </rPh>
    <rPh sb="63" eb="64">
      <t>タイ</t>
    </rPh>
    <rPh sb="65" eb="66">
      <t>サイ</t>
    </rPh>
    <rPh sb="71" eb="73">
      <t>ジッシ</t>
    </rPh>
    <phoneticPr fontId="4"/>
  </si>
  <si>
    <t>１．TODO一覧取得処理を行う
２．Clientのセッション保持期間外に再アクセスする</t>
    <rPh sb="30" eb="32">
      <t>ホジ</t>
    </rPh>
    <rPh sb="32" eb="34">
      <t>キカン</t>
    </rPh>
    <rPh sb="34" eb="35">
      <t>ガイ</t>
    </rPh>
    <rPh sb="36" eb="37">
      <t>サイ</t>
    </rPh>
    <phoneticPr fontId="4"/>
  </si>
  <si>
    <t>OTH20201</t>
    <phoneticPr fontId="4"/>
  </si>
  <si>
    <t>・アクセストークンを加工して送信する</t>
    <rPh sb="10" eb="12">
      <t>カコウ</t>
    </rPh>
    <rPh sb="14" eb="16">
      <t>ソウシン</t>
    </rPh>
    <phoneticPr fontId="4"/>
  </si>
  <si>
    <t>・認可コードグラントで認可処理を行う
・取得したトークンを加工してリソースサーバーへ送信する</t>
    <rPh sb="1" eb="3">
      <t>ニンカ</t>
    </rPh>
    <rPh sb="11" eb="13">
      <t>ニンカ</t>
    </rPh>
    <rPh sb="13" eb="15">
      <t>ショリ</t>
    </rPh>
    <rPh sb="16" eb="17">
      <t>オコナ</t>
    </rPh>
    <rPh sb="20" eb="22">
      <t>シュトク</t>
    </rPh>
    <rPh sb="29" eb="31">
      <t>カコウ</t>
    </rPh>
    <rPh sb="42" eb="44">
      <t>ソウシン</t>
    </rPh>
    <phoneticPr fontId="4"/>
  </si>
  <si>
    <t>１．TODO一覧取得処理を行う
２．リソースサーバー送信前にヘッダからトークンを取得し、余分な文字列を付与する</t>
    <phoneticPr fontId="4"/>
  </si>
  <si>
    <t xml:space="preserve">・リソースサーバーでJWT認可に失敗すること
・401エラーとなること
</t>
    <rPh sb="13" eb="15">
      <t>ニンカ</t>
    </rPh>
    <rPh sb="16" eb="18">
      <t>シッパイ</t>
    </rPh>
    <phoneticPr fontId="4"/>
  </si>
  <si>
    <t>その他異常系</t>
    <rPh sb="2" eb="3">
      <t>タ</t>
    </rPh>
    <rPh sb="3" eb="5">
      <t>イジョウ</t>
    </rPh>
    <rPh sb="5" eb="6">
      <t>ケイ</t>
    </rPh>
    <phoneticPr fontId="4"/>
  </si>
  <si>
    <t>トークンの加工</t>
    <phoneticPr fontId="4"/>
  </si>
  <si>
    <t>アクセストークン（有効期限）</t>
    <phoneticPr fontId="4"/>
  </si>
  <si>
    <t>認可サーバからの応答がない</t>
    <phoneticPr fontId="4"/>
  </si>
  <si>
    <t>トークン有効期限が切れている（リソースサーバー）</t>
    <phoneticPr fontId="4"/>
  </si>
  <si>
    <t>認可サーバーを経由しない</t>
    <phoneticPr fontId="4"/>
  </si>
  <si>
    <t xml:space="preserve">[目的]
　認可コードグラントの各種異常系について実施する。
[補足]
　本項における試験条件は以下とする。
　　・認可コードグラント
　　・リソースサーバ～認可サーバ間のアクセストークンの連携方法・・・JWT
</t>
    <rPh sb="6" eb="8">
      <t>ニンカ</t>
    </rPh>
    <rPh sb="16" eb="18">
      <t>カクシュ</t>
    </rPh>
    <rPh sb="18" eb="20">
      <t>イジョウ</t>
    </rPh>
    <rPh sb="20" eb="21">
      <t>ケイ</t>
    </rPh>
    <rPh sb="25" eb="27">
      <t>ジッシ</t>
    </rPh>
    <phoneticPr fontId="4"/>
  </si>
  <si>
    <t>・トークンエンドポイントの誤り</t>
    <phoneticPr fontId="4"/>
  </si>
  <si>
    <t>認可エンドポイントの誤り</t>
    <phoneticPr fontId="4"/>
  </si>
  <si>
    <t>JWTエンドポイントの誤り</t>
    <phoneticPr fontId="4"/>
  </si>
  <si>
    <t>OTH20301</t>
    <phoneticPr fontId="4"/>
  </si>
  <si>
    <t>OTH20302</t>
    <phoneticPr fontId="4"/>
  </si>
  <si>
    <t>OTH20303</t>
    <phoneticPr fontId="4"/>
  </si>
  <si>
    <t>・認可コードグラントで認可処理を行う
・誤ったトークンエンドポイントにアクセスする</t>
    <rPh sb="1" eb="3">
      <t>ニンカ</t>
    </rPh>
    <rPh sb="11" eb="13">
      <t>ニンカ</t>
    </rPh>
    <rPh sb="13" eb="15">
      <t>ショリ</t>
    </rPh>
    <rPh sb="16" eb="17">
      <t>オコナ</t>
    </rPh>
    <rPh sb="20" eb="21">
      <t>アヤマ</t>
    </rPh>
    <phoneticPr fontId="4"/>
  </si>
  <si>
    <t>１．TODO一覧取得処理を行う</t>
    <rPh sb="6" eb="8">
      <t>イチラン</t>
    </rPh>
    <rPh sb="8" eb="10">
      <t>シュトク</t>
    </rPh>
    <rPh sb="10" eb="12">
      <t>ショリ</t>
    </rPh>
    <rPh sb="13" eb="14">
      <t>オコナ</t>
    </rPh>
    <phoneticPr fontId="4"/>
  </si>
  <si>
    <t>・Resource Not Found画面へ遷移すること</t>
    <phoneticPr fontId="4"/>
  </si>
  <si>
    <t>・認可コードグラントで認可処理を行う
・誤った認可エンドポイントにアクセスする</t>
    <rPh sb="1" eb="3">
      <t>ニンカ</t>
    </rPh>
    <rPh sb="11" eb="13">
      <t>ニンカ</t>
    </rPh>
    <rPh sb="13" eb="15">
      <t>ショリ</t>
    </rPh>
    <rPh sb="16" eb="17">
      <t>オコナ</t>
    </rPh>
    <rPh sb="20" eb="21">
      <t>アヤマ</t>
    </rPh>
    <phoneticPr fontId="4"/>
  </si>
  <si>
    <t>・認可コードグラントで認可処理を行う
・誤ったJWTエンドポイントにアクセスする</t>
    <rPh sb="1" eb="3">
      <t>ニンカ</t>
    </rPh>
    <rPh sb="11" eb="13">
      <t>ニンカ</t>
    </rPh>
    <rPh sb="13" eb="15">
      <t>ショリ</t>
    </rPh>
    <rPh sb="16" eb="17">
      <t>オコナ</t>
    </rPh>
    <rPh sb="20" eb="21">
      <t>アヤマ</t>
    </rPh>
    <phoneticPr fontId="4"/>
  </si>
  <si>
    <t>・認可サーバーで404となること</t>
    <phoneticPr fontId="4"/>
  </si>
  <si>
    <t>トークンの有効期限切れ（リソースサーバー）</t>
    <rPh sb="5" eb="7">
      <t>ユウコウ</t>
    </rPh>
    <rPh sb="7" eb="9">
      <t>キゲン</t>
    </rPh>
    <rPh sb="9" eb="10">
      <t>ギ</t>
    </rPh>
    <phoneticPr fontId="4"/>
  </si>
  <si>
    <t>・認可コードグラントで認可処理を行う
・JWT認証実施時にトークンの有効期限切れ</t>
    <rPh sb="1" eb="3">
      <t>ニンカ</t>
    </rPh>
    <rPh sb="11" eb="13">
      <t>ニンカ</t>
    </rPh>
    <rPh sb="13" eb="15">
      <t>ショリ</t>
    </rPh>
    <rPh sb="16" eb="17">
      <t>オコナ</t>
    </rPh>
    <rPh sb="23" eb="25">
      <t>ニンショウ</t>
    </rPh>
    <rPh sb="25" eb="27">
      <t>ジッシ</t>
    </rPh>
    <rPh sb="27" eb="28">
      <t>ジ</t>
    </rPh>
    <rPh sb="34" eb="36">
      <t>ユウコウ</t>
    </rPh>
    <rPh sb="36" eb="38">
      <t>キゲン</t>
    </rPh>
    <rPh sb="38" eb="39">
      <t>ギ</t>
    </rPh>
    <phoneticPr fontId="4"/>
  </si>
  <si>
    <t>１．TODO一覧取得処理を行う
２．リソースサーバー送信直前にClientセッションが切れるまで待機する</t>
    <rPh sb="6" eb="8">
      <t>イチラン</t>
    </rPh>
    <rPh sb="8" eb="10">
      <t>シュトク</t>
    </rPh>
    <rPh sb="10" eb="12">
      <t>ショリ</t>
    </rPh>
    <rPh sb="13" eb="14">
      <t>オコナ</t>
    </rPh>
    <rPh sb="26" eb="28">
      <t>ソウシン</t>
    </rPh>
    <rPh sb="28" eb="30">
      <t>チョクゼン</t>
    </rPh>
    <rPh sb="43" eb="44">
      <t>キ</t>
    </rPh>
    <rPh sb="48" eb="50">
      <t>タイキ</t>
    </rPh>
    <phoneticPr fontId="4"/>
  </si>
  <si>
    <t>・認可サーバーで401となること</t>
    <phoneticPr fontId="4"/>
  </si>
  <si>
    <t>・リソースサーバからWWW-Authenticateヘッダが返却されること</t>
    <phoneticPr fontId="4"/>
  </si>
  <si>
    <t>・トークンを取得せずにリソースサーバーへアクセスする</t>
    <rPh sb="6" eb="8">
      <t>シュトク</t>
    </rPh>
    <phoneticPr fontId="4"/>
  </si>
  <si>
    <t>なし</t>
    <phoneticPr fontId="4"/>
  </si>
  <si>
    <t>・リソースサーバーへアクセスする</t>
    <phoneticPr fontId="4"/>
  </si>
  <si>
    <r>
      <t xml:space="preserve">・Resource Not Found画面へ遷移すること
</t>
    </r>
    <r>
      <rPr>
        <b/>
        <sz val="11"/>
        <rFont val="ＭＳ Ｐゴシック"/>
        <family val="3"/>
        <charset val="128"/>
      </rPr>
      <t>※手動確認</t>
    </r>
    <r>
      <rPr>
        <sz val="11"/>
        <rFont val="ＭＳ Ｐゴシック"/>
        <family val="3"/>
        <charset val="128"/>
      </rPr>
      <t xml:space="preserve">
認可サーバーのログに以下が出力されること
KC-SERVICES0093: Invalid parameter value for: scope
※OTH20103001と同様の挙動の為、実施しない
（リソースサーバーまで到達しないため）</t>
    </r>
    <rPh sb="19" eb="21">
      <t>ガメン</t>
    </rPh>
    <rPh sb="22" eb="24">
      <t>センイ</t>
    </rPh>
    <rPh sb="31" eb="33">
      <t>シュドウ</t>
    </rPh>
    <rPh sb="33" eb="35">
      <t>カクニン</t>
    </rPh>
    <rPh sb="36" eb="38">
      <t>ニンカ</t>
    </rPh>
    <rPh sb="46" eb="48">
      <t>イカ</t>
    </rPh>
    <rPh sb="49" eb="51">
      <t>シュツリョク</t>
    </rPh>
    <phoneticPr fontId="4"/>
  </si>
  <si>
    <t>論理削除</t>
    <rPh sb="0" eb="2">
      <t>ロンリ</t>
    </rPh>
    <rPh sb="2" eb="4">
      <t>サクジョ</t>
    </rPh>
    <phoneticPr fontId="4"/>
  </si>
  <si>
    <t>・アクセストークンが更新されていること
・アクセストークンの有効期限が更新されていること
※クライアントアプリで認可サーバーに対し再アクセスを実施している
※OTH20201001と一緒に実施</t>
    <rPh sb="56" eb="58">
      <t>ニンカ</t>
    </rPh>
    <rPh sb="63" eb="64">
      <t>タイ</t>
    </rPh>
    <rPh sb="65" eb="66">
      <t>サイ</t>
    </rPh>
    <rPh sb="71" eb="73">
      <t>ジッシ</t>
    </rPh>
    <rPh sb="92" eb="94">
      <t>イッショ</t>
    </rPh>
    <rPh sb="95" eb="97">
      <t>ジッシ</t>
    </rPh>
    <phoneticPr fontId="4"/>
  </si>
  <si>
    <t>・アクセストークンが更新されていること
・アクセストークンの有効期限が最大有効期限未満の場合アクセストークンの有効期限が更新されていること
・アクセストークンの有効期限が最大有効期限と同じ場合アクセストークンの有効期限が更新されていないこと
※OTH20201001と一緒に実施</t>
    <rPh sb="135" eb="137">
      <t>イッショ</t>
    </rPh>
    <rPh sb="138" eb="140">
      <t>ジッシ</t>
    </rPh>
    <phoneticPr fontId="4"/>
  </si>
  <si>
    <t>3m
（明示的に設定していないためSSOと同じ）</t>
    <rPh sb="4" eb="6">
      <t>メイジ</t>
    </rPh>
    <rPh sb="6" eb="7">
      <t>テキ</t>
    </rPh>
    <rPh sb="8" eb="10">
      <t>セッテイ</t>
    </rPh>
    <rPh sb="21" eb="22">
      <t>オナ</t>
    </rPh>
    <phoneticPr fontId="4"/>
  </si>
  <si>
    <t>5h
（明示的に設定していないためSSOと同じ）</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</si>
</sst>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13" x14ac:knownFonts="1">
    <font>
      <sz val="11"/>
      <color theme="1"/>
      <name val="ＭＳ Ｐゴシック"/>
      <family val="2"/>
      <charset val="128"/>
      <scheme val="minor"/>
    </font>
    <font>
      <sz val="11"/>
      <color theme="1"/>
      <name val="ＭＳ Ｐゴシック"/>
      <family val="2"/>
      <charset val="128"/>
    </font>
    <font>
      <sz val="11"/>
      <color theme="1"/>
      <name val="ＭＳ Ｐゴシック"/>
      <family val="2"/>
      <charset val="128"/>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
      <sz val="11"/>
      <name val="ＭＳ Ｐゴシック"/>
      <family val="3"/>
      <charset val="128"/>
      <scheme val="minor"/>
    </font>
    <font>
      <sz val="11"/>
      <name val="ＭＳ Ｐゴシック"/>
      <family val="2"/>
      <charset val="128"/>
      <scheme val="minor"/>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
      <patternFill patternType="solid">
        <fgColor rgb="FFFFC000"/>
        <bgColor indexed="64"/>
      </patternFill>
    </fill>
    <fill>
      <patternFill patternType="solid">
        <fgColor theme="0" tint="-0.499984740745262"/>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5">
    <xf numFmtId="0" fontId="0" fillId="0" borderId="0">
      <alignment vertical="center"/>
    </xf>
    <xf numFmtId="0" fontId="7" fillId="0" borderId="0" applyNumberFormat="0" applyFill="0" applyBorder="0" applyAlignment="0" applyProtection="0">
      <alignment vertical="top"/>
      <protection locked="0"/>
    </xf>
    <xf numFmtId="0" fontId="8" fillId="0" borderId="0">
      <alignment vertical="center"/>
    </xf>
    <xf numFmtId="0" fontId="2" fillId="0" borderId="0">
      <alignment vertical="center"/>
    </xf>
    <xf numFmtId="0" fontId="1" fillId="0" borderId="0">
      <alignment vertical="center"/>
    </xf>
  </cellStyleXfs>
  <cellXfs count="65">
    <xf numFmtId="0" fontId="0" fillId="0" borderId="0" xfId="0">
      <alignment vertical="center"/>
    </xf>
    <xf numFmtId="0" fontId="3" fillId="2" borderId="1" xfId="0" applyFont="1" applyFill="1" applyBorder="1" applyAlignment="1">
      <alignment horizontal="center" vertical="center"/>
    </xf>
    <xf numFmtId="0" fontId="0" fillId="0" borderId="1" xfId="0" applyBorder="1">
      <alignment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1" xfId="0" applyBorder="1" applyAlignment="1">
      <alignment horizontal="left" vertical="top" wrapText="1"/>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8" fillId="0" borderId="1" xfId="2" applyBorder="1" applyAlignment="1">
      <alignment horizontal="center" vertical="center"/>
    </xf>
    <xf numFmtId="14" fontId="8" fillId="0" borderId="1" xfId="2" applyNumberFormat="1" applyBorder="1" applyAlignment="1">
      <alignment horizontal="center" vertical="center"/>
    </xf>
    <xf numFmtId="0" fontId="8" fillId="0" borderId="0" xfId="2">
      <alignment vertical="center"/>
    </xf>
    <xf numFmtId="176" fontId="8" fillId="0" borderId="2" xfId="2" applyNumberFormat="1" applyBorder="1" applyAlignment="1">
      <alignment horizontal="center" vertical="top" wrapText="1"/>
    </xf>
    <xf numFmtId="0" fontId="8" fillId="0" borderId="1" xfId="2" applyBorder="1" applyAlignment="1">
      <alignment horizontal="left" vertical="top" wrapText="1"/>
    </xf>
    <xf numFmtId="49" fontId="8" fillId="0" borderId="1" xfId="2" applyNumberFormat="1" applyBorder="1" applyAlignment="1">
      <alignment horizontal="left" vertical="top" wrapText="1"/>
    </xf>
    <xf numFmtId="14" fontId="8" fillId="0" borderId="1" xfId="2" applyNumberFormat="1" applyBorder="1" applyAlignment="1">
      <alignment horizontal="center" vertical="top" wrapText="1"/>
    </xf>
    <xf numFmtId="176" fontId="8" fillId="0" borderId="3" xfId="2" applyNumberFormat="1" applyBorder="1" applyAlignment="1">
      <alignment horizontal="center" vertical="top" wrapText="1"/>
    </xf>
    <xf numFmtId="176" fontId="8" fillId="0" borderId="4" xfId="2" applyNumberFormat="1" applyBorder="1" applyAlignment="1">
      <alignment horizontal="center" vertical="top" wrapText="1"/>
    </xf>
    <xf numFmtId="176" fontId="8" fillId="4" borderId="2" xfId="2" applyNumberFormat="1" applyFill="1" applyBorder="1" applyAlignment="1">
      <alignment horizontal="center" vertical="top" wrapText="1"/>
    </xf>
    <xf numFmtId="0" fontId="8" fillId="4" borderId="1" xfId="2" applyFill="1" applyBorder="1" applyAlignment="1">
      <alignment horizontal="center" vertical="center"/>
    </xf>
    <xf numFmtId="176" fontId="8" fillId="4" borderId="1" xfId="2" applyNumberFormat="1" applyFill="1" applyBorder="1" applyAlignment="1">
      <alignment horizontal="center" vertical="top" wrapText="1"/>
    </xf>
    <xf numFmtId="0" fontId="0" fillId="0" borderId="3" xfId="0" applyBorder="1" applyAlignment="1">
      <alignment horizontal="left" vertical="top" wrapText="1"/>
    </xf>
    <xf numFmtId="0" fontId="0" fillId="4" borderId="3" xfId="0" applyFill="1" applyBorder="1" applyAlignment="1">
      <alignment horizontal="center" vertical="top"/>
    </xf>
    <xf numFmtId="0" fontId="0" fillId="4" borderId="1" xfId="0" applyFill="1" applyBorder="1" applyAlignment="1">
      <alignment horizontal="center" vertical="top"/>
    </xf>
    <xf numFmtId="0" fontId="0" fillId="2" borderId="1" xfId="0" applyFill="1" applyBorder="1" applyAlignment="1">
      <alignment horizontal="center" vertical="center"/>
    </xf>
    <xf numFmtId="176" fontId="8" fillId="0" borderId="1" xfId="2" applyNumberFormat="1" applyBorder="1" applyAlignment="1">
      <alignment horizontal="center" vertical="top" wrapText="1"/>
    </xf>
    <xf numFmtId="0" fontId="0" fillId="4" borderId="4" xfId="0" applyFill="1" applyBorder="1" applyAlignment="1">
      <alignment horizontal="center" vertical="top"/>
    </xf>
    <xf numFmtId="0" fontId="12" fillId="0" borderId="3" xfId="0" applyFont="1" applyBorder="1" applyAlignment="1">
      <alignment horizontal="left" vertical="top" wrapText="1"/>
    </xf>
    <xf numFmtId="0" fontId="11" fillId="0" borderId="1" xfId="0" applyFont="1" applyBorder="1" applyAlignment="1">
      <alignment horizontal="left" vertical="top" wrapText="1"/>
    </xf>
    <xf numFmtId="0" fontId="11" fillId="0" borderId="2" xfId="0" applyFont="1" applyBorder="1" applyAlignment="1">
      <alignment horizontal="left" vertical="top" wrapText="1"/>
    </xf>
    <xf numFmtId="176" fontId="8" fillId="0" borderId="4" xfId="2" applyNumberFormat="1" applyBorder="1" applyAlignment="1">
      <alignment vertical="top" wrapText="1"/>
    </xf>
    <xf numFmtId="0" fontId="6" fillId="0" borderId="0" xfId="0" applyFont="1">
      <alignment vertical="center"/>
    </xf>
    <xf numFmtId="0" fontId="0" fillId="0" borderId="1" xfId="0" applyBorder="1" applyAlignment="1">
      <alignment vertical="center" wrapText="1"/>
    </xf>
    <xf numFmtId="0" fontId="6" fillId="5" borderId="1" xfId="0" applyFont="1" applyFill="1" applyBorder="1" applyAlignment="1">
      <alignment horizontal="center" vertical="center"/>
    </xf>
    <xf numFmtId="0" fontId="0" fillId="0" borderId="0" xfId="0" applyAlignment="1">
      <alignment vertical="center" wrapText="1"/>
    </xf>
    <xf numFmtId="0" fontId="0" fillId="0" borderId="12" xfId="0" applyBorder="1">
      <alignment vertical="center"/>
    </xf>
    <xf numFmtId="49" fontId="8" fillId="0" borderId="12" xfId="2" applyNumberFormat="1" applyBorder="1" applyAlignment="1">
      <alignment horizontal="left" vertical="top" wrapText="1"/>
    </xf>
    <xf numFmtId="176" fontId="8" fillId="0" borderId="3" xfId="2" applyNumberFormat="1" applyBorder="1" applyAlignment="1">
      <alignment vertical="top" wrapText="1"/>
    </xf>
    <xf numFmtId="0" fontId="0" fillId="4" borderId="2" xfId="0" applyFill="1" applyBorder="1" applyAlignment="1">
      <alignment horizontal="center" vertical="top"/>
    </xf>
    <xf numFmtId="0" fontId="0" fillId="0" borderId="2" xfId="0" applyBorder="1" applyAlignment="1">
      <alignment horizontal="left" vertical="top" wrapText="1"/>
    </xf>
    <xf numFmtId="0" fontId="8" fillId="6" borderId="1" xfId="2" applyFill="1" applyBorder="1" applyAlignment="1">
      <alignment horizontal="left" vertical="top" wrapText="1"/>
    </xf>
    <xf numFmtId="49" fontId="8" fillId="6" borderId="1" xfId="2" applyNumberFormat="1" applyFill="1" applyBorder="1" applyAlignment="1">
      <alignment horizontal="left" vertical="top" wrapText="1"/>
    </xf>
    <xf numFmtId="14" fontId="8" fillId="6" borderId="1" xfId="2" applyNumberFormat="1" applyFill="1" applyBorder="1" applyAlignment="1">
      <alignment horizontal="center" vertical="top" wrapText="1"/>
    </xf>
    <xf numFmtId="49" fontId="8" fillId="6" borderId="12" xfId="2" applyNumberFormat="1" applyFill="1" applyBorder="1" applyAlignment="1">
      <alignment horizontal="left" vertical="top" wrapText="1"/>
    </xf>
    <xf numFmtId="0" fontId="8" fillId="7" borderId="1" xfId="2" applyFill="1" applyBorder="1" applyAlignment="1">
      <alignment horizontal="left" vertical="top" wrapText="1"/>
    </xf>
    <xf numFmtId="49" fontId="8" fillId="7" borderId="1" xfId="2" applyNumberFormat="1" applyFill="1" applyBorder="1" applyAlignment="1">
      <alignment horizontal="left" vertical="top" wrapText="1"/>
    </xf>
    <xf numFmtId="14" fontId="8" fillId="7" borderId="1" xfId="2" applyNumberFormat="1" applyFill="1" applyBorder="1" applyAlignment="1">
      <alignment horizontal="center" vertical="top" wrapText="1"/>
    </xf>
    <xf numFmtId="0" fontId="8" fillId="0" borderId="2" xfId="2" applyBorder="1" applyAlignment="1">
      <alignment horizontal="left" vertical="top" wrapText="1"/>
    </xf>
    <xf numFmtId="49" fontId="8" fillId="0" borderId="2" xfId="2" applyNumberFormat="1" applyBorder="1" applyAlignment="1">
      <alignment horizontal="left" vertical="top" wrapText="1"/>
    </xf>
    <xf numFmtId="14" fontId="8" fillId="0" borderId="2" xfId="2" applyNumberFormat="1" applyBorder="1" applyAlignment="1">
      <alignment horizontal="center" vertical="top" wrapText="1"/>
    </xf>
    <xf numFmtId="0" fontId="0" fillId="0" borderId="4" xfId="0" applyBorder="1" applyAlignment="1">
      <alignment horizontal="left" vertical="top" wrapText="1"/>
    </xf>
    <xf numFmtId="0" fontId="0" fillId="4" borderId="1" xfId="0" applyFill="1" applyBorder="1">
      <alignment vertical="center"/>
    </xf>
    <xf numFmtId="0" fontId="9" fillId="3" borderId="6" xfId="2" applyFont="1" applyFill="1" applyBorder="1" applyAlignment="1">
      <alignment horizontal="center" vertical="center" wrapText="1"/>
    </xf>
    <xf numFmtId="0" fontId="9" fillId="3" borderId="8" xfId="2" applyFont="1" applyFill="1" applyBorder="1" applyAlignment="1">
      <alignment horizontal="center" vertical="center" wrapText="1"/>
    </xf>
    <xf numFmtId="0" fontId="7" fillId="4" borderId="5" xfId="1" applyFill="1" applyBorder="1" applyAlignment="1" applyProtection="1">
      <alignment horizontal="center" vertical="center"/>
    </xf>
    <xf numFmtId="0" fontId="7" fillId="4" borderId="9" xfId="1" applyFill="1" applyBorder="1" applyAlignment="1" applyProtection="1">
      <alignment horizontal="center" vertical="center"/>
    </xf>
    <xf numFmtId="0" fontId="7" fillId="4" borderId="10" xfId="1" applyFill="1" applyBorder="1" applyAlignment="1" applyProtection="1">
      <alignment horizontal="center" vertical="center"/>
    </xf>
    <xf numFmtId="0" fontId="7" fillId="4" borderId="11" xfId="1" applyFill="1" applyBorder="1" applyAlignment="1" applyProtection="1">
      <alignment horizontal="center" vertical="center"/>
    </xf>
    <xf numFmtId="0" fontId="8" fillId="4" borderId="2" xfId="2" applyFill="1" applyBorder="1" applyAlignment="1">
      <alignment horizontal="center" vertical="center"/>
    </xf>
    <xf numFmtId="0" fontId="8" fillId="4" borderId="4" xfId="2" applyFill="1" applyBorder="1" applyAlignment="1">
      <alignment horizontal="center" vertical="center"/>
    </xf>
    <xf numFmtId="0" fontId="9" fillId="3" borderId="6" xfId="2" applyFont="1" applyFill="1" applyBorder="1" applyAlignment="1">
      <alignment horizontal="left" vertical="center"/>
    </xf>
    <xf numFmtId="0" fontId="9" fillId="3" borderId="7" xfId="2" applyFont="1" applyFill="1" applyBorder="1" applyAlignment="1">
      <alignment horizontal="left" vertical="center"/>
    </xf>
    <xf numFmtId="0" fontId="9" fillId="3" borderId="8" xfId="2" applyFont="1" applyFill="1" applyBorder="1" applyAlignment="1">
      <alignment horizontal="left" vertical="center"/>
    </xf>
    <xf numFmtId="49" fontId="8" fillId="0" borderId="6" xfId="2" applyNumberFormat="1" applyBorder="1" applyAlignment="1">
      <alignment horizontal="left" vertical="top" wrapText="1"/>
    </xf>
    <xf numFmtId="49" fontId="8" fillId="0" borderId="7" xfId="2" applyNumberFormat="1" applyBorder="1" applyAlignment="1">
      <alignment horizontal="left" vertical="top" wrapText="1"/>
    </xf>
    <xf numFmtId="49" fontId="8" fillId="0" borderId="8" xfId="2" applyNumberFormat="1" applyBorder="1" applyAlignment="1">
      <alignment horizontal="left" vertical="top" wrapText="1"/>
    </xf>
  </cellXfs>
  <cellStyles count="5">
    <cellStyle name="ハイパーリンク" xfId="1" builtinId="8"/>
    <cellStyle name="標準" xfId="0" builtinId="0"/>
    <cellStyle name="標準 2" xfId="2" xr:uid="{00000000-0005-0000-0000-000002000000}"/>
    <cellStyle name="標準 3" xfId="3" xr:uid="{00000000-0005-0000-0000-000003000000}"/>
    <cellStyle name="標準 3 2" xfId="4" xr:uid="{00000000-0005-0000-0000-000004000000}"/>
  </cellStyles>
  <dxfs count="6">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3"/>
  <sheetViews>
    <sheetView showGridLines="0" tabSelected="1" zoomScaleNormal="100" workbookViewId="0">
      <pane ySplit="4" topLeftCell="A5" activePane="bottomLeft" state="frozen"/>
      <selection pane="bottomLeft" activeCell="A5" sqref="A5"/>
    </sheetView>
  </sheetViews>
  <sheetFormatPr defaultRowHeight="13.5" x14ac:dyDescent="0.15"/>
  <cols>
    <col min="1" max="1" width="9.75" bestFit="1" customWidth="1"/>
    <col min="2" max="2" width="41.25" customWidth="1"/>
    <col min="3" max="3" width="13.625" customWidth="1"/>
    <col min="4" max="4" width="78" customWidth="1"/>
  </cols>
  <sheetData>
    <row r="1" spans="1:4" x14ac:dyDescent="0.15">
      <c r="A1" s="1" t="s">
        <v>0</v>
      </c>
      <c r="B1" s="2" t="s">
        <v>32</v>
      </c>
      <c r="C1" s="23" t="s">
        <v>24</v>
      </c>
    </row>
    <row r="2" spans="1:4" x14ac:dyDescent="0.15">
      <c r="A2" s="3" t="s">
        <v>1</v>
      </c>
      <c r="B2" s="2" t="s">
        <v>25</v>
      </c>
      <c r="C2" s="50" cm="1">
        <f t="array" aca="1" ref="C2" ca="1">SUMPRODUCT(IF(LEFT($A$5:$A$65497, 4)=$B$1, N(INDIRECT($A$5:$A$65497 &amp; "!C2")), 0))</f>
        <v>35</v>
      </c>
    </row>
    <row r="4" spans="1:4" x14ac:dyDescent="0.15">
      <c r="A4" s="4" t="s">
        <v>2</v>
      </c>
      <c r="B4" s="4" t="s">
        <v>3</v>
      </c>
      <c r="C4" s="4" t="s">
        <v>4</v>
      </c>
      <c r="D4" s="4" t="s">
        <v>5</v>
      </c>
    </row>
    <row r="5" spans="1:4" x14ac:dyDescent="0.15">
      <c r="A5" s="37" t="str">
        <f>IF(B5="","",($B$1&amp;TEXT(IF(B5="","",COUNTA($B$5:B5)),"00")))</f>
        <v>OTH201</v>
      </c>
      <c r="B5" s="38" t="s">
        <v>34</v>
      </c>
      <c r="C5" s="22" t="str">
        <f>IF(B5="",($B$1&amp;TEXT(IF(B5="",COUNTA($B$5:B5),1),"00")),A5)&amp;IF(B5&lt;&gt;"",TEXT(1,"00"),TEXT(IF(A5&lt;&gt;"",1,RIGHT(C4,2)+1),"00"))</f>
        <v>OTH20101</v>
      </c>
      <c r="D5" s="5" t="s">
        <v>171</v>
      </c>
    </row>
    <row r="6" spans="1:4" x14ac:dyDescent="0.15">
      <c r="A6" s="21"/>
      <c r="B6" s="20"/>
      <c r="C6" s="22" t="str">
        <f>IF(B6="",($B$1&amp;TEXT(IF(B6="",COUNTA($B$5:B6),1),"00")),A6)&amp;IF(B6&lt;&gt;"",TEXT(1,"00"),TEXT(IF(A6&lt;&gt;"",1,RIGHT(C5,2)+1),"00"))</f>
        <v>OTH20102</v>
      </c>
      <c r="D6" s="5" t="s">
        <v>170</v>
      </c>
    </row>
    <row r="7" spans="1:4" x14ac:dyDescent="0.15">
      <c r="A7" s="21"/>
      <c r="B7" s="20"/>
      <c r="C7" s="22" t="str">
        <f>IF(B7="",($B$1&amp;TEXT(IF(B7="",COUNTA($B$5:B7),1),"00")),A7)&amp;IF(B7&lt;&gt;"",TEXT(1,"00"),TEXT(IF(A7&lt;&gt;"",1,RIGHT(C6,2)+1),"00"))</f>
        <v>OTH20103</v>
      </c>
      <c r="D7" s="5" t="s">
        <v>169</v>
      </c>
    </row>
    <row r="8" spans="1:4" x14ac:dyDescent="0.15">
      <c r="A8" s="21" t="str">
        <f>IF(B8="","",($B$1&amp;TEXT(IF(B8="","",COUNTA($B$5:B8)),"00")))</f>
        <v/>
      </c>
      <c r="B8" s="20"/>
      <c r="C8" s="22" t="str">
        <f>IF(B8="",($B$1&amp;TEXT(IF(B8="",COUNTA($B$5:B8),1),"00")),A8)&amp;IF(B8&lt;&gt;"",TEXT(1,"00"),TEXT(IF(A8&lt;&gt;"",1,RIGHT(C7,2)+1),"00"))</f>
        <v>OTH20104</v>
      </c>
      <c r="D8" s="5" t="s">
        <v>168</v>
      </c>
    </row>
    <row r="9" spans="1:4" x14ac:dyDescent="0.15">
      <c r="A9" s="21" t="str">
        <f>IF(B9="","",($B$1&amp;TEXT(IF(B9="","",COUNTA($B$5:B9)),"00")))</f>
        <v>OTH202</v>
      </c>
      <c r="B9" s="28" t="s">
        <v>167</v>
      </c>
      <c r="C9" s="22" t="str">
        <f>IF(B9="",($B$1&amp;TEXT(IF(B9="",COUNTA($B$5:B9),1),"00")),A9)&amp;IF(B9&lt;&gt;"",TEXT(1,"00"),TEXT(IF(A9&lt;&gt;"",1,RIGHT(C8,2)+1),"00"))</f>
        <v>OTH20201</v>
      </c>
      <c r="D9" s="27" t="s">
        <v>191</v>
      </c>
    </row>
    <row r="10" spans="1:4" x14ac:dyDescent="0.15">
      <c r="A10" s="21" t="str">
        <f>IF(B10="","",($B$1&amp;TEXT(IF(B10="","",COUNTA($B$5:B10)),"00")))</f>
        <v/>
      </c>
      <c r="B10" s="26"/>
      <c r="C10" s="22" t="str">
        <f>IF(B10="",($B$1&amp;TEXT(IF(B10="",COUNTA($B$5:B10),1),"00")),A10)&amp;IF(B10&lt;&gt;"",TEXT(1,"00"),TEXT(IF(A10&lt;&gt;"",1,RIGHT(C9,2)+1),"00"))</f>
        <v>OTH20202</v>
      </c>
      <c r="D10" s="27" t="s">
        <v>190</v>
      </c>
    </row>
    <row r="11" spans="1:4" x14ac:dyDescent="0.15">
      <c r="A11" s="21" t="str">
        <f>IF(B11="","",($B$1&amp;TEXT(IF(B11="","",COUNTA($B$5:B11)),"00")))</f>
        <v>OTH203</v>
      </c>
      <c r="B11" s="38" t="s">
        <v>189</v>
      </c>
      <c r="C11" s="22" t="str">
        <f>IF(B11="",($B$1&amp;TEXT(IF(B11="",COUNTA($B$5:B11),1),"00")),A11)&amp;IF(B11&lt;&gt;"",TEXT(1,"00"),TEXT(IF(A11&lt;&gt;"",1,RIGHT(C10,2)+1),"00"))</f>
        <v>OTH20301</v>
      </c>
      <c r="D11" s="5" t="s">
        <v>192</v>
      </c>
    </row>
    <row r="12" spans="1:4" x14ac:dyDescent="0.15">
      <c r="A12" s="21" t="str">
        <f>IF(B12="","",($B$1&amp;TEXT(IF(B12="","",COUNTA($B$5:B12)),"00")))</f>
        <v/>
      </c>
      <c r="B12" s="20"/>
      <c r="C12" s="22" t="str">
        <f>IF(B12="",($B$1&amp;TEXT(IF(B12="",COUNTA($B$5:B12),1),"00")),A12)&amp;IF(B12&lt;&gt;"",TEXT(1,"00"),TEXT(IF(A12&lt;&gt;"",1,RIGHT(C11,2)+1),"00"))</f>
        <v>OTH20302</v>
      </c>
      <c r="D12" s="5" t="s">
        <v>193</v>
      </c>
    </row>
    <row r="13" spans="1:4" x14ac:dyDescent="0.15">
      <c r="A13" s="25" t="str">
        <f>IF(B13="","",($B$1&amp;TEXT(IF(B13="","",COUNTA($B$5:B13)),"00")))</f>
        <v/>
      </c>
      <c r="B13" s="49"/>
      <c r="C13" s="22" t="str">
        <f>IF(B13="",($B$1&amp;TEXT(IF(B13="",COUNTA($B$5:B13),1),"00")),A13)&amp;IF(B13&lt;&gt;"",TEXT(1,"00"),TEXT(IF(A13&lt;&gt;"",1,RIGHT(C12,2)+1),"00"))</f>
        <v>OTH20303</v>
      </c>
      <c r="D13" s="5" t="s">
        <v>194</v>
      </c>
    </row>
  </sheetData>
  <phoneticPr fontId="4"/>
  <conditionalFormatting sqref="A5:B13">
    <cfRule type="expression" dxfId="5" priority="113">
      <formula>A5&lt;&gt;""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3EADC-938B-4CFB-B9D0-7D87D0F10C47}">
  <dimension ref="B2:E67"/>
  <sheetViews>
    <sheetView showGridLines="0" workbookViewId="0"/>
  </sheetViews>
  <sheetFormatPr defaultRowHeight="15.75" customHeight="1" x14ac:dyDescent="0.15"/>
  <cols>
    <col min="1" max="2" width="3.625" customWidth="1"/>
    <col min="3" max="3" width="21" bestFit="1" customWidth="1"/>
    <col min="4" max="4" width="66.25" customWidth="1"/>
    <col min="5" max="5" width="30.875" bestFit="1" customWidth="1"/>
  </cols>
  <sheetData>
    <row r="2" spans="2:5" ht="15.75" customHeight="1" x14ac:dyDescent="0.15">
      <c r="B2" t="s">
        <v>35</v>
      </c>
    </row>
    <row r="4" spans="2:5" ht="15.75" customHeight="1" x14ac:dyDescent="0.15">
      <c r="C4" s="30" t="s">
        <v>50</v>
      </c>
    </row>
    <row r="5" spans="2:5" ht="15.75" customHeight="1" x14ac:dyDescent="0.15">
      <c r="C5" s="30" t="s">
        <v>75</v>
      </c>
    </row>
    <row r="7" spans="2:5" ht="15.75" customHeight="1" x14ac:dyDescent="0.15">
      <c r="C7" s="32" t="s">
        <v>36</v>
      </c>
      <c r="D7" s="32" t="s">
        <v>37</v>
      </c>
      <c r="E7" s="32" t="s">
        <v>38</v>
      </c>
    </row>
    <row r="8" spans="2:5" ht="27" x14ac:dyDescent="0.15">
      <c r="C8" s="2" t="s">
        <v>43</v>
      </c>
      <c r="D8" s="31" t="s">
        <v>47</v>
      </c>
      <c r="E8" s="2" t="s">
        <v>44</v>
      </c>
    </row>
    <row r="9" spans="2:5" ht="27" x14ac:dyDescent="0.15">
      <c r="C9" s="2" t="s">
        <v>45</v>
      </c>
      <c r="D9" s="31" t="s">
        <v>48</v>
      </c>
      <c r="E9" s="2" t="s">
        <v>46</v>
      </c>
    </row>
    <row r="11" spans="2:5" ht="15.75" customHeight="1" x14ac:dyDescent="0.15">
      <c r="C11" s="30" t="s">
        <v>49</v>
      </c>
      <c r="D11" s="33"/>
    </row>
    <row r="12" spans="2:5" ht="15.75" customHeight="1" x14ac:dyDescent="0.15">
      <c r="C12" s="32" t="s">
        <v>36</v>
      </c>
      <c r="D12" s="32" t="s">
        <v>37</v>
      </c>
      <c r="E12" s="32" t="s">
        <v>38</v>
      </c>
    </row>
    <row r="13" spans="2:5" ht="40.5" x14ac:dyDescent="0.15">
      <c r="C13" s="2" t="s">
        <v>39</v>
      </c>
      <c r="D13" s="31" t="s">
        <v>56</v>
      </c>
      <c r="E13" s="2" t="s">
        <v>51</v>
      </c>
    </row>
    <row r="14" spans="2:5" ht="40.5" x14ac:dyDescent="0.15">
      <c r="C14" s="2" t="s">
        <v>41</v>
      </c>
      <c r="D14" s="31" t="s">
        <v>55</v>
      </c>
      <c r="E14" s="31" t="s">
        <v>220</v>
      </c>
    </row>
    <row r="15" spans="2:5" ht="40.5" x14ac:dyDescent="0.15">
      <c r="C15" s="2" t="s">
        <v>42</v>
      </c>
      <c r="D15" s="31" t="s">
        <v>54</v>
      </c>
      <c r="E15" s="31" t="s">
        <v>221</v>
      </c>
    </row>
    <row r="16" spans="2:5" ht="13.5" x14ac:dyDescent="0.15">
      <c r="C16" s="2" t="s">
        <v>76</v>
      </c>
      <c r="D16" s="31" t="s">
        <v>78</v>
      </c>
      <c r="E16" s="31" t="s">
        <v>77</v>
      </c>
    </row>
    <row r="17" spans="2:5" ht="13.5" x14ac:dyDescent="0.15"/>
    <row r="18" spans="2:5" ht="15.75" customHeight="1" x14ac:dyDescent="0.15">
      <c r="C18" s="30" t="s">
        <v>82</v>
      </c>
      <c r="D18" s="33"/>
    </row>
    <row r="19" spans="2:5" ht="15.75" customHeight="1" x14ac:dyDescent="0.15">
      <c r="C19" s="32" t="s">
        <v>36</v>
      </c>
      <c r="D19" s="32" t="s">
        <v>37</v>
      </c>
      <c r="E19" s="32" t="s">
        <v>38</v>
      </c>
    </row>
    <row r="20" spans="2:5" ht="40.5" x14ac:dyDescent="0.15">
      <c r="C20" s="2" t="s">
        <v>59</v>
      </c>
      <c r="D20" s="31" t="s">
        <v>56</v>
      </c>
      <c r="E20" s="2" t="s">
        <v>40</v>
      </c>
    </row>
    <row r="21" spans="2:5" ht="40.5" x14ac:dyDescent="0.15">
      <c r="C21" s="2" t="s">
        <v>41</v>
      </c>
      <c r="D21" s="31" t="s">
        <v>55</v>
      </c>
      <c r="E21" s="2" t="s">
        <v>52</v>
      </c>
    </row>
    <row r="22" spans="2:5" ht="40.5" x14ac:dyDescent="0.15">
      <c r="C22" s="2" t="s">
        <v>42</v>
      </c>
      <c r="D22" s="31" t="s">
        <v>54</v>
      </c>
      <c r="E22" s="2" t="s">
        <v>53</v>
      </c>
    </row>
    <row r="23" spans="2:5" ht="13.5" x14ac:dyDescent="0.15">
      <c r="C23" s="2" t="s">
        <v>76</v>
      </c>
      <c r="D23" s="31" t="s">
        <v>78</v>
      </c>
      <c r="E23" s="31" t="s">
        <v>79</v>
      </c>
    </row>
    <row r="25" spans="2:5" ht="15.75" customHeight="1" x14ac:dyDescent="0.15">
      <c r="B25" s="30" t="s">
        <v>57</v>
      </c>
    </row>
    <row r="26" spans="2:5" ht="15.75" customHeight="1" x14ac:dyDescent="0.15">
      <c r="C26" t="s">
        <v>69</v>
      </c>
    </row>
    <row r="28" spans="2:5" ht="15.75" customHeight="1" x14ac:dyDescent="0.15">
      <c r="C28" s="30" t="s">
        <v>58</v>
      </c>
    </row>
    <row r="29" spans="2:5" ht="15.75" customHeight="1" x14ac:dyDescent="0.15">
      <c r="C29" t="s">
        <v>60</v>
      </c>
    </row>
    <row r="30" spans="2:5" ht="15.75" customHeight="1" x14ac:dyDescent="0.15">
      <c r="C30" t="s">
        <v>61</v>
      </c>
    </row>
    <row r="32" spans="2:5" ht="15.75" customHeight="1" x14ac:dyDescent="0.15">
      <c r="C32" s="30" t="s">
        <v>62</v>
      </c>
    </row>
    <row r="33" spans="3:3" ht="15.75" customHeight="1" x14ac:dyDescent="0.15">
      <c r="C33" t="s">
        <v>63</v>
      </c>
    </row>
    <row r="34" spans="3:3" ht="15.75" customHeight="1" x14ac:dyDescent="0.15">
      <c r="C34" t="s">
        <v>64</v>
      </c>
    </row>
    <row r="35" spans="3:3" ht="15.75" customHeight="1" x14ac:dyDescent="0.15">
      <c r="C35" t="s">
        <v>65</v>
      </c>
    </row>
    <row r="36" spans="3:3" ht="15.75" customHeight="1" x14ac:dyDescent="0.15">
      <c r="C36" t="s">
        <v>66</v>
      </c>
    </row>
    <row r="38" spans="3:3" ht="15.75" customHeight="1" x14ac:dyDescent="0.15">
      <c r="C38" s="30" t="s">
        <v>58</v>
      </c>
    </row>
    <row r="39" spans="3:3" ht="15.75" customHeight="1" x14ac:dyDescent="0.15">
      <c r="C39" t="s">
        <v>67</v>
      </c>
    </row>
    <row r="40" spans="3:3" ht="15.75" customHeight="1" x14ac:dyDescent="0.15">
      <c r="C40" t="s">
        <v>68</v>
      </c>
    </row>
    <row r="42" spans="3:3" ht="15.75" customHeight="1" x14ac:dyDescent="0.15">
      <c r="C42" t="s">
        <v>70</v>
      </c>
    </row>
    <row r="43" spans="3:3" ht="15.75" customHeight="1" x14ac:dyDescent="0.15">
      <c r="C43" t="s">
        <v>71</v>
      </c>
    </row>
    <row r="45" spans="3:3" ht="15.75" customHeight="1" x14ac:dyDescent="0.15">
      <c r="C45" s="30" t="s">
        <v>62</v>
      </c>
    </row>
    <row r="46" spans="3:3" ht="15.75" customHeight="1" x14ac:dyDescent="0.15">
      <c r="C46" t="s">
        <v>72</v>
      </c>
    </row>
    <row r="47" spans="3:3" ht="15.75" customHeight="1" x14ac:dyDescent="0.15">
      <c r="C47" t="s">
        <v>64</v>
      </c>
    </row>
    <row r="48" spans="3:3" ht="15.75" customHeight="1" x14ac:dyDescent="0.15">
      <c r="C48" t="s">
        <v>73</v>
      </c>
    </row>
    <row r="49" spans="2:3" ht="15.75" customHeight="1" x14ac:dyDescent="0.15">
      <c r="C49" t="s">
        <v>66</v>
      </c>
    </row>
    <row r="51" spans="2:3" ht="15.75" customHeight="1" x14ac:dyDescent="0.15">
      <c r="C51" s="30" t="s">
        <v>58</v>
      </c>
    </row>
    <row r="52" spans="2:3" ht="15.75" customHeight="1" x14ac:dyDescent="0.15">
      <c r="C52" t="s">
        <v>74</v>
      </c>
    </row>
    <row r="53" spans="2:3" ht="15.75" customHeight="1" x14ac:dyDescent="0.15">
      <c r="C53" t="s">
        <v>68</v>
      </c>
    </row>
    <row r="55" spans="2:3" ht="15.75" customHeight="1" x14ac:dyDescent="0.15">
      <c r="B55" s="30" t="s">
        <v>80</v>
      </c>
    </row>
    <row r="57" spans="2:3" ht="15.75" customHeight="1" x14ac:dyDescent="0.15">
      <c r="C57" t="s">
        <v>121</v>
      </c>
    </row>
    <row r="58" spans="2:3" ht="15.75" customHeight="1" x14ac:dyDescent="0.15">
      <c r="C58" t="s">
        <v>147</v>
      </c>
    </row>
    <row r="60" spans="2:3" ht="15.75" customHeight="1" x14ac:dyDescent="0.15">
      <c r="C60" t="s">
        <v>81</v>
      </c>
    </row>
    <row r="61" spans="2:3" ht="15.75" customHeight="1" x14ac:dyDescent="0.15">
      <c r="C61" t="s">
        <v>83</v>
      </c>
    </row>
    <row r="62" spans="2:3" ht="15.75" customHeight="1" x14ac:dyDescent="0.15">
      <c r="C62" t="s">
        <v>84</v>
      </c>
    </row>
    <row r="63" spans="2:3" ht="15.75" customHeight="1" x14ac:dyDescent="0.15">
      <c r="C63" t="s">
        <v>87</v>
      </c>
    </row>
    <row r="65" spans="3:3" ht="15.75" customHeight="1" x14ac:dyDescent="0.15">
      <c r="C65" t="s">
        <v>85</v>
      </c>
    </row>
    <row r="66" spans="3:3" ht="15.75" customHeight="1" x14ac:dyDescent="0.15">
      <c r="C66" t="s">
        <v>84</v>
      </c>
    </row>
    <row r="67" spans="3:3" ht="15.75" customHeight="1" x14ac:dyDescent="0.15">
      <c r="C67" t="s">
        <v>86</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03E3-0518-4C53-9182-134769627E2E}">
  <sheetPr>
    <pageSetUpPr fitToPage="1"/>
  </sheetPr>
  <dimension ref="A1:J34"/>
  <sheetViews>
    <sheetView showGridLines="0" zoomScale="85" zoomScaleNormal="85" workbookViewId="0">
      <pane ySplit="8" topLeftCell="A9" activePane="bottomLeft" state="frozen"/>
      <selection activeCell="D20" sqref="D20"/>
      <selection pane="bottomLeft" activeCell="A9" sqref="A9"/>
    </sheetView>
  </sheetViews>
  <sheetFormatPr defaultRowHeight="13.5" x14ac:dyDescent="0.15"/>
  <cols>
    <col min="1" max="1" width="11.25" customWidth="1"/>
    <col min="2" max="2" width="8.625" customWidth="1"/>
    <col min="3" max="3" width="10.375" customWidth="1"/>
    <col min="4" max="4" width="25.125" customWidth="1"/>
    <col min="5" max="5" width="42.75" customWidth="1"/>
    <col min="6" max="6" width="45.125" customWidth="1"/>
    <col min="7" max="7" width="29.625" customWidth="1"/>
    <col min="8" max="8" width="45.125" customWidth="1"/>
    <col min="9" max="9" width="16.75" customWidth="1"/>
    <col min="10" max="10" width="31.875" customWidth="1"/>
  </cols>
  <sheetData>
    <row r="1" spans="1:9" ht="27" x14ac:dyDescent="0.15">
      <c r="A1" s="51" t="s">
        <v>6</v>
      </c>
      <c r="B1" s="52"/>
      <c r="C1" s="6" t="s">
        <v>7</v>
      </c>
      <c r="D1" s="6" t="s">
        <v>8</v>
      </c>
      <c r="E1" s="6" t="s">
        <v>9</v>
      </c>
      <c r="F1" s="6" t="s">
        <v>10</v>
      </c>
      <c r="G1" s="6" t="s">
        <v>11</v>
      </c>
      <c r="H1" s="7" t="s">
        <v>12</v>
      </c>
    </row>
    <row r="2" spans="1:9" x14ac:dyDescent="0.15">
      <c r="A2" s="53" t="s">
        <v>19</v>
      </c>
      <c r="B2" s="54"/>
      <c r="C2" s="57">
        <f ca="1">COUNTIFS($B$9:$B$65495,"&lt;&gt;",$J$9:$J$65495,"&lt;&gt;論理削除")</f>
        <v>25</v>
      </c>
      <c r="D2" s="18" t="str">
        <f>大中項目!B1</f>
        <v>OTH2</v>
      </c>
      <c r="E2" s="18" t="str" cm="1">
        <f t="array" aca="1" ref="E2" ca="1">MID(CELL("filename", A1), FIND("]", CELL("filename", A1)) + 1, 255)</f>
        <v>OTH201</v>
      </c>
      <c r="F2" s="9"/>
      <c r="G2" s="9"/>
      <c r="H2" s="8"/>
    </row>
    <row r="3" spans="1:9" x14ac:dyDescent="0.15">
      <c r="A3" s="55"/>
      <c r="B3" s="56"/>
      <c r="C3" s="58"/>
      <c r="D3" s="18" t="str">
        <f>大中項目!B2</f>
        <v>OAuth2.0</v>
      </c>
      <c r="E3" s="18" t="str">
        <f ca="1">INDEX(大中項目!B:B, MATCH(E2, 大中項目!A:A, 0))</f>
        <v>認可コードグラント</v>
      </c>
      <c r="F3" s="9"/>
      <c r="G3" s="9"/>
      <c r="H3" s="9"/>
    </row>
    <row r="4" spans="1:9" x14ac:dyDescent="0.15">
      <c r="A4" s="10"/>
      <c r="B4" s="10"/>
      <c r="C4" s="10"/>
      <c r="D4" s="10"/>
      <c r="E4" s="10"/>
      <c r="F4" s="10"/>
      <c r="G4" s="10"/>
      <c r="H4" s="10"/>
      <c r="I4" s="10"/>
    </row>
    <row r="5" spans="1:9" x14ac:dyDescent="0.15">
      <c r="A5" s="59" t="s">
        <v>13</v>
      </c>
      <c r="B5" s="60"/>
      <c r="C5" s="60"/>
      <c r="D5" s="60"/>
      <c r="E5" s="60"/>
      <c r="F5" s="60"/>
      <c r="G5" s="60"/>
      <c r="H5" s="60"/>
      <c r="I5" s="61"/>
    </row>
    <row r="6" spans="1:9" ht="201.75" customHeight="1" x14ac:dyDescent="0.15">
      <c r="A6" s="62" t="s">
        <v>33</v>
      </c>
      <c r="B6" s="63"/>
      <c r="C6" s="63"/>
      <c r="D6" s="63"/>
      <c r="E6" s="63"/>
      <c r="F6" s="63"/>
      <c r="G6" s="63"/>
      <c r="H6" s="63"/>
      <c r="I6" s="64"/>
    </row>
    <row r="7" spans="1:9" x14ac:dyDescent="0.15">
      <c r="A7" s="10"/>
      <c r="B7" s="10"/>
      <c r="C7" s="10"/>
      <c r="D7" s="10"/>
      <c r="E7" s="10"/>
      <c r="F7" s="10"/>
      <c r="G7" s="10"/>
      <c r="H7" s="10"/>
      <c r="I7" s="10"/>
    </row>
    <row r="8" spans="1:9" ht="27" x14ac:dyDescent="0.15">
      <c r="A8" s="6" t="s">
        <v>4</v>
      </c>
      <c r="B8" s="7" t="s">
        <v>20</v>
      </c>
      <c r="C8" s="6" t="s">
        <v>14</v>
      </c>
      <c r="D8" s="6" t="s">
        <v>15</v>
      </c>
      <c r="E8" s="6" t="s">
        <v>16</v>
      </c>
      <c r="F8" s="7" t="s">
        <v>21</v>
      </c>
      <c r="G8" s="7" t="s">
        <v>22</v>
      </c>
      <c r="H8" s="6" t="s">
        <v>17</v>
      </c>
      <c r="I8" s="6" t="s">
        <v>18</v>
      </c>
    </row>
    <row r="9" spans="1:9" ht="81" x14ac:dyDescent="0.15">
      <c r="A9" s="11" t="s">
        <v>103</v>
      </c>
      <c r="B9" s="17">
        <f ca="1">IF(A9&lt;&gt;"",1,INDIRECT(ADDRESS(ROW(B9)-1,COLUMN(B9),4))+1)</f>
        <v>1</v>
      </c>
      <c r="C9" s="12" t="s">
        <v>23</v>
      </c>
      <c r="D9" s="13" t="s">
        <v>125</v>
      </c>
      <c r="E9" s="13" t="s">
        <v>90</v>
      </c>
      <c r="F9" s="13" t="s">
        <v>88</v>
      </c>
      <c r="G9" s="13" t="s">
        <v>92</v>
      </c>
      <c r="H9" s="13" t="s">
        <v>94</v>
      </c>
      <c r="I9" s="14" t="s">
        <v>29</v>
      </c>
    </row>
    <row r="10" spans="1:9" ht="135" customHeight="1" x14ac:dyDescent="0.15">
      <c r="A10" s="15"/>
      <c r="B10" s="17">
        <f t="shared" ref="B10:B34" ca="1" si="0">IF(A10&lt;&gt;"",1,INDIRECT(ADDRESS(ROW(B10)-1,COLUMN(B10),4))+1)</f>
        <v>2</v>
      </c>
      <c r="C10" s="12" t="s">
        <v>23</v>
      </c>
      <c r="D10" s="13" t="s">
        <v>126</v>
      </c>
      <c r="E10" s="13" t="s">
        <v>89</v>
      </c>
      <c r="F10" s="13" t="s">
        <v>91</v>
      </c>
      <c r="G10" s="13" t="s">
        <v>93</v>
      </c>
      <c r="H10" s="13" t="s">
        <v>98</v>
      </c>
      <c r="I10" s="14" t="s">
        <v>29</v>
      </c>
    </row>
    <row r="11" spans="1:9" ht="94.5" x14ac:dyDescent="0.15">
      <c r="A11" s="15"/>
      <c r="B11" s="17">
        <f t="shared" ca="1" si="0"/>
        <v>3</v>
      </c>
      <c r="C11" s="12" t="s">
        <v>23</v>
      </c>
      <c r="D11" s="13" t="s">
        <v>127</v>
      </c>
      <c r="E11" s="13" t="s">
        <v>95</v>
      </c>
      <c r="F11" s="13" t="s">
        <v>96</v>
      </c>
      <c r="G11" s="13" t="s">
        <v>97</v>
      </c>
      <c r="H11" s="13" t="s">
        <v>99</v>
      </c>
      <c r="I11" s="14" t="s">
        <v>29</v>
      </c>
    </row>
    <row r="12" spans="1:9" ht="94.5" x14ac:dyDescent="0.15">
      <c r="A12" s="15"/>
      <c r="B12" s="17">
        <f t="shared" ca="1" si="0"/>
        <v>4</v>
      </c>
      <c r="C12" s="12" t="s">
        <v>23</v>
      </c>
      <c r="D12" s="13" t="s">
        <v>128</v>
      </c>
      <c r="E12" s="13" t="s">
        <v>100</v>
      </c>
      <c r="F12" s="13" t="s">
        <v>96</v>
      </c>
      <c r="G12" s="13" t="s">
        <v>101</v>
      </c>
      <c r="H12" s="13" t="s">
        <v>102</v>
      </c>
      <c r="I12" s="14" t="s">
        <v>29</v>
      </c>
    </row>
    <row r="13" spans="1:9" ht="81" x14ac:dyDescent="0.15">
      <c r="A13" s="15"/>
      <c r="B13" s="17">
        <f t="shared" ca="1" si="0"/>
        <v>5</v>
      </c>
      <c r="C13" s="12" t="s">
        <v>23</v>
      </c>
      <c r="D13" s="13" t="s">
        <v>129</v>
      </c>
      <c r="E13" s="13" t="s">
        <v>109</v>
      </c>
      <c r="F13" s="13" t="s">
        <v>88</v>
      </c>
      <c r="G13" s="13" t="s">
        <v>92</v>
      </c>
      <c r="H13" s="13" t="s">
        <v>94</v>
      </c>
      <c r="I13" s="14" t="s">
        <v>29</v>
      </c>
    </row>
    <row r="14" spans="1:9" ht="81" x14ac:dyDescent="0.15">
      <c r="A14" s="15"/>
      <c r="B14" s="17">
        <f t="shared" ca="1" si="0"/>
        <v>6</v>
      </c>
      <c r="C14" s="12" t="s">
        <v>23</v>
      </c>
      <c r="D14" s="13" t="s">
        <v>130</v>
      </c>
      <c r="E14" s="13" t="s">
        <v>110</v>
      </c>
      <c r="F14" s="13" t="s">
        <v>91</v>
      </c>
      <c r="G14" s="13" t="s">
        <v>93</v>
      </c>
      <c r="H14" s="13" t="s">
        <v>98</v>
      </c>
      <c r="I14" s="14" t="s">
        <v>29</v>
      </c>
    </row>
    <row r="15" spans="1:9" ht="94.5" x14ac:dyDescent="0.15">
      <c r="A15" s="15"/>
      <c r="B15" s="17">
        <f t="shared" ca="1" si="0"/>
        <v>7</v>
      </c>
      <c r="C15" s="12" t="s">
        <v>23</v>
      </c>
      <c r="D15" s="13" t="s">
        <v>131</v>
      </c>
      <c r="E15" s="13" t="s">
        <v>111</v>
      </c>
      <c r="F15" s="13" t="s">
        <v>96</v>
      </c>
      <c r="G15" s="13" t="s">
        <v>97</v>
      </c>
      <c r="H15" s="13" t="s">
        <v>99</v>
      </c>
      <c r="I15" s="14" t="s">
        <v>29</v>
      </c>
    </row>
    <row r="16" spans="1:9" ht="94.5" x14ac:dyDescent="0.15">
      <c r="A16" s="15"/>
      <c r="B16" s="17">
        <f t="shared" ca="1" si="0"/>
        <v>8</v>
      </c>
      <c r="C16" s="12" t="s">
        <v>23</v>
      </c>
      <c r="D16" s="13" t="s">
        <v>132</v>
      </c>
      <c r="E16" s="13" t="s">
        <v>112</v>
      </c>
      <c r="F16" s="13" t="s">
        <v>96</v>
      </c>
      <c r="G16" s="13" t="s">
        <v>101</v>
      </c>
      <c r="H16" s="13" t="s">
        <v>102</v>
      </c>
      <c r="I16" s="14" t="s">
        <v>29</v>
      </c>
    </row>
    <row r="17" spans="1:10" ht="94.5" x14ac:dyDescent="0.15">
      <c r="A17" s="11" t="s">
        <v>26</v>
      </c>
      <c r="B17" s="17">
        <f t="shared" ca="1" si="0"/>
        <v>1</v>
      </c>
      <c r="C17" s="12" t="s">
        <v>23</v>
      </c>
      <c r="D17" s="13" t="s">
        <v>133</v>
      </c>
      <c r="E17" s="13" t="s">
        <v>104</v>
      </c>
      <c r="F17" s="13" t="s">
        <v>117</v>
      </c>
      <c r="G17" s="13" t="s">
        <v>92</v>
      </c>
      <c r="H17" s="13" t="s">
        <v>120</v>
      </c>
      <c r="I17" s="14" t="s">
        <v>29</v>
      </c>
    </row>
    <row r="18" spans="1:10" ht="108" x14ac:dyDescent="0.15">
      <c r="A18" s="15"/>
      <c r="B18" s="17">
        <f t="shared" ca="1" si="0"/>
        <v>2</v>
      </c>
      <c r="C18" s="12" t="s">
        <v>23</v>
      </c>
      <c r="D18" s="13" t="s">
        <v>134</v>
      </c>
      <c r="E18" s="13" t="s">
        <v>106</v>
      </c>
      <c r="F18" s="13" t="s">
        <v>105</v>
      </c>
      <c r="G18" s="13" t="s">
        <v>93</v>
      </c>
      <c r="H18" s="13" t="s">
        <v>122</v>
      </c>
      <c r="I18" s="14" t="s">
        <v>29</v>
      </c>
    </row>
    <row r="19" spans="1:10" ht="108" x14ac:dyDescent="0.15">
      <c r="A19" s="15"/>
      <c r="B19" s="17">
        <f t="shared" ca="1" si="0"/>
        <v>3</v>
      </c>
      <c r="C19" s="12" t="s">
        <v>23</v>
      </c>
      <c r="D19" s="13" t="s">
        <v>135</v>
      </c>
      <c r="E19" s="13" t="s">
        <v>107</v>
      </c>
      <c r="F19" s="13" t="s">
        <v>118</v>
      </c>
      <c r="G19" s="13" t="s">
        <v>97</v>
      </c>
      <c r="H19" s="13" t="s">
        <v>123</v>
      </c>
      <c r="I19" s="14" t="s">
        <v>29</v>
      </c>
    </row>
    <row r="20" spans="1:10" ht="108" x14ac:dyDescent="0.15">
      <c r="A20" s="15"/>
      <c r="B20" s="17">
        <f t="shared" ca="1" si="0"/>
        <v>4</v>
      </c>
      <c r="C20" s="12" t="s">
        <v>23</v>
      </c>
      <c r="D20" s="13" t="s">
        <v>136</v>
      </c>
      <c r="E20" s="13" t="s">
        <v>108</v>
      </c>
      <c r="F20" s="13" t="s">
        <v>118</v>
      </c>
      <c r="G20" s="13" t="s">
        <v>101</v>
      </c>
      <c r="H20" s="13" t="s">
        <v>124</v>
      </c>
      <c r="I20" s="14" t="s">
        <v>29</v>
      </c>
    </row>
    <row r="21" spans="1:10" ht="108" x14ac:dyDescent="0.15">
      <c r="A21" s="15"/>
      <c r="B21" s="17">
        <f t="shared" ca="1" si="0"/>
        <v>5</v>
      </c>
      <c r="C21" s="12" t="s">
        <v>23</v>
      </c>
      <c r="D21" s="13" t="s">
        <v>137</v>
      </c>
      <c r="E21" s="13" t="s">
        <v>114</v>
      </c>
      <c r="F21" s="13" t="s">
        <v>117</v>
      </c>
      <c r="G21" s="13" t="s">
        <v>92</v>
      </c>
      <c r="H21" s="13" t="s">
        <v>120</v>
      </c>
      <c r="I21" s="14" t="s">
        <v>29</v>
      </c>
    </row>
    <row r="22" spans="1:10" ht="108" x14ac:dyDescent="0.15">
      <c r="A22" s="15"/>
      <c r="B22" s="17">
        <f t="shared" ca="1" si="0"/>
        <v>6</v>
      </c>
      <c r="C22" s="12" t="s">
        <v>23</v>
      </c>
      <c r="D22" s="13" t="s">
        <v>138</v>
      </c>
      <c r="E22" s="13" t="s">
        <v>115</v>
      </c>
      <c r="F22" s="13" t="s">
        <v>119</v>
      </c>
      <c r="G22" s="13" t="s">
        <v>93</v>
      </c>
      <c r="H22" s="13" t="s">
        <v>122</v>
      </c>
      <c r="I22" s="14" t="s">
        <v>29</v>
      </c>
    </row>
    <row r="23" spans="1:10" ht="108" x14ac:dyDescent="0.15">
      <c r="A23" s="15"/>
      <c r="B23" s="17">
        <f t="shared" ca="1" si="0"/>
        <v>7</v>
      </c>
      <c r="C23" s="12" t="s">
        <v>23</v>
      </c>
      <c r="D23" s="13" t="s">
        <v>139</v>
      </c>
      <c r="E23" s="13" t="s">
        <v>116</v>
      </c>
      <c r="F23" s="13" t="s">
        <v>118</v>
      </c>
      <c r="G23" s="13" t="s">
        <v>97</v>
      </c>
      <c r="H23" s="13" t="s">
        <v>123</v>
      </c>
      <c r="I23" s="14" t="s">
        <v>29</v>
      </c>
    </row>
    <row r="24" spans="1:10" ht="108" x14ac:dyDescent="0.15">
      <c r="A24" s="15"/>
      <c r="B24" s="17">
        <f t="shared" ca="1" si="0"/>
        <v>8</v>
      </c>
      <c r="C24" s="12" t="s">
        <v>23</v>
      </c>
      <c r="D24" s="13" t="s">
        <v>140</v>
      </c>
      <c r="E24" s="13" t="s">
        <v>113</v>
      </c>
      <c r="F24" s="13" t="s">
        <v>118</v>
      </c>
      <c r="G24" s="13" t="s">
        <v>101</v>
      </c>
      <c r="H24" s="13" t="s">
        <v>124</v>
      </c>
      <c r="I24" s="14" t="s">
        <v>29</v>
      </c>
    </row>
    <row r="25" spans="1:10" ht="108" x14ac:dyDescent="0.15">
      <c r="A25" s="11" t="s">
        <v>27</v>
      </c>
      <c r="B25" s="17">
        <f t="shared" ca="1" si="0"/>
        <v>1</v>
      </c>
      <c r="C25" s="12" t="s">
        <v>148</v>
      </c>
      <c r="D25" s="13" t="s">
        <v>141</v>
      </c>
      <c r="E25" s="13" t="s">
        <v>143</v>
      </c>
      <c r="F25" s="13" t="s">
        <v>145</v>
      </c>
      <c r="G25" s="13" t="s">
        <v>92</v>
      </c>
      <c r="H25" s="13" t="s">
        <v>146</v>
      </c>
      <c r="I25" s="14" t="s">
        <v>29</v>
      </c>
      <c r="J25" s="34"/>
    </row>
    <row r="26" spans="1:10" ht="108" x14ac:dyDescent="0.15">
      <c r="A26" s="15"/>
      <c r="B26" s="17">
        <f t="shared" ca="1" si="0"/>
        <v>2</v>
      </c>
      <c r="C26" s="39" t="s">
        <v>148</v>
      </c>
      <c r="D26" s="40" t="s">
        <v>142</v>
      </c>
      <c r="E26" s="40" t="s">
        <v>144</v>
      </c>
      <c r="F26" s="40" t="s">
        <v>145</v>
      </c>
      <c r="G26" s="40" t="s">
        <v>92</v>
      </c>
      <c r="H26" s="40" t="s">
        <v>216</v>
      </c>
      <c r="I26" s="41" t="s">
        <v>29</v>
      </c>
      <c r="J26" s="42" t="s">
        <v>217</v>
      </c>
    </row>
    <row r="27" spans="1:10" ht="94.5" x14ac:dyDescent="0.15">
      <c r="A27" s="11" t="s">
        <v>28</v>
      </c>
      <c r="B27" s="17">
        <f t="shared" ca="1" si="0"/>
        <v>1</v>
      </c>
      <c r="C27" s="12" t="s">
        <v>23</v>
      </c>
      <c r="D27" s="13" t="s">
        <v>149</v>
      </c>
      <c r="E27" s="13" t="s">
        <v>157</v>
      </c>
      <c r="F27" s="13" t="s">
        <v>88</v>
      </c>
      <c r="G27" s="13" t="s">
        <v>92</v>
      </c>
      <c r="H27" s="13" t="s">
        <v>94</v>
      </c>
      <c r="I27" s="14" t="s">
        <v>29</v>
      </c>
      <c r="J27" s="34"/>
    </row>
    <row r="28" spans="1:10" ht="94.5" x14ac:dyDescent="0.15">
      <c r="A28" s="15"/>
      <c r="B28" s="17">
        <f t="shared" ca="1" si="0"/>
        <v>2</v>
      </c>
      <c r="C28" s="12" t="s">
        <v>23</v>
      </c>
      <c r="D28" s="13" t="s">
        <v>150</v>
      </c>
      <c r="E28" s="13" t="s">
        <v>158</v>
      </c>
      <c r="F28" s="13" t="s">
        <v>91</v>
      </c>
      <c r="G28" s="13" t="s">
        <v>93</v>
      </c>
      <c r="H28" s="13" t="s">
        <v>165</v>
      </c>
      <c r="I28" s="14" t="s">
        <v>29</v>
      </c>
    </row>
    <row r="29" spans="1:10" ht="94.5" x14ac:dyDescent="0.15">
      <c r="A29" s="15"/>
      <c r="B29" s="17">
        <f t="shared" ca="1" si="0"/>
        <v>3</v>
      </c>
      <c r="C29" s="12" t="s">
        <v>23</v>
      </c>
      <c r="D29" s="13" t="s">
        <v>151</v>
      </c>
      <c r="E29" s="13" t="s">
        <v>159</v>
      </c>
      <c r="F29" s="13" t="s">
        <v>96</v>
      </c>
      <c r="G29" s="13" t="s">
        <v>97</v>
      </c>
      <c r="H29" s="13" t="s">
        <v>166</v>
      </c>
      <c r="I29" s="14" t="s">
        <v>29</v>
      </c>
    </row>
    <row r="30" spans="1:10" ht="94.5" x14ac:dyDescent="0.15">
      <c r="A30" s="15"/>
      <c r="B30" s="17">
        <f t="shared" ca="1" si="0"/>
        <v>4</v>
      </c>
      <c r="C30" s="12" t="s">
        <v>23</v>
      </c>
      <c r="D30" s="13" t="s">
        <v>152</v>
      </c>
      <c r="E30" s="13" t="s">
        <v>160</v>
      </c>
      <c r="F30" s="13" t="s">
        <v>96</v>
      </c>
      <c r="G30" s="13" t="s">
        <v>101</v>
      </c>
      <c r="H30" s="13" t="s">
        <v>102</v>
      </c>
      <c r="I30" s="14" t="s">
        <v>29</v>
      </c>
    </row>
    <row r="31" spans="1:10" ht="94.5" x14ac:dyDescent="0.15">
      <c r="A31" s="15"/>
      <c r="B31" s="17">
        <f t="shared" ca="1" si="0"/>
        <v>5</v>
      </c>
      <c r="C31" s="12" t="s">
        <v>23</v>
      </c>
      <c r="D31" s="13" t="s">
        <v>153</v>
      </c>
      <c r="E31" s="13" t="s">
        <v>161</v>
      </c>
      <c r="F31" s="13" t="s">
        <v>88</v>
      </c>
      <c r="G31" s="13" t="s">
        <v>92</v>
      </c>
      <c r="H31" s="13" t="s">
        <v>94</v>
      </c>
      <c r="I31" s="14" t="s">
        <v>29</v>
      </c>
    </row>
    <row r="32" spans="1:10" ht="94.5" x14ac:dyDescent="0.15">
      <c r="A32" s="15"/>
      <c r="B32" s="17">
        <f t="shared" ca="1" si="0"/>
        <v>6</v>
      </c>
      <c r="C32" s="12" t="s">
        <v>23</v>
      </c>
      <c r="D32" s="13" t="s">
        <v>154</v>
      </c>
      <c r="E32" s="13" t="s">
        <v>162</v>
      </c>
      <c r="F32" s="13" t="s">
        <v>91</v>
      </c>
      <c r="G32" s="13" t="s">
        <v>93</v>
      </c>
      <c r="H32" s="13" t="s">
        <v>165</v>
      </c>
      <c r="I32" s="14" t="s">
        <v>29</v>
      </c>
    </row>
    <row r="33" spans="1:9" ht="94.5" x14ac:dyDescent="0.15">
      <c r="A33" s="15"/>
      <c r="B33" s="17">
        <f t="shared" ca="1" si="0"/>
        <v>7</v>
      </c>
      <c r="C33" s="12" t="s">
        <v>23</v>
      </c>
      <c r="D33" s="13" t="s">
        <v>155</v>
      </c>
      <c r="E33" s="13" t="s">
        <v>163</v>
      </c>
      <c r="F33" s="13" t="s">
        <v>96</v>
      </c>
      <c r="G33" s="13" t="s">
        <v>97</v>
      </c>
      <c r="H33" s="13" t="s">
        <v>166</v>
      </c>
      <c r="I33" s="14" t="s">
        <v>29</v>
      </c>
    </row>
    <row r="34" spans="1:9" ht="94.5" x14ac:dyDescent="0.15">
      <c r="A34" s="16"/>
      <c r="B34" s="19">
        <f t="shared" ca="1" si="0"/>
        <v>8</v>
      </c>
      <c r="C34" s="12" t="s">
        <v>23</v>
      </c>
      <c r="D34" s="13" t="s">
        <v>156</v>
      </c>
      <c r="E34" s="13" t="s">
        <v>164</v>
      </c>
      <c r="F34" s="13" t="s">
        <v>96</v>
      </c>
      <c r="G34" s="13" t="s">
        <v>101</v>
      </c>
      <c r="H34" s="13" t="s">
        <v>102</v>
      </c>
      <c r="I34" s="14" t="s">
        <v>29</v>
      </c>
    </row>
  </sheetData>
  <mergeCells count="5">
    <mergeCell ref="A1:B1"/>
    <mergeCell ref="A2:B3"/>
    <mergeCell ref="C2:C3"/>
    <mergeCell ref="A5:I5"/>
    <mergeCell ref="A6:I6"/>
  </mergeCells>
  <phoneticPr fontId="4"/>
  <conditionalFormatting sqref="A20:A24 A26 A28">
    <cfRule type="expression" dxfId="4" priority="4">
      <formula>A20&lt;&gt;""</formula>
    </cfRule>
  </conditionalFormatting>
  <conditionalFormatting sqref="A30:A33">
    <cfRule type="expression" dxfId="3" priority="3">
      <formula>A30&lt;&gt;""</formula>
    </cfRule>
  </conditionalFormatting>
  <conditionalFormatting sqref="B9:B34">
    <cfRule type="expression" dxfId="2" priority="5">
      <formula>B9&lt;&gt;""</formula>
    </cfRule>
  </conditionalFormatting>
  <dataValidations count="2">
    <dataValidation type="list" allowBlank="1" showInputMessage="1" showErrorMessage="1" sqref="C9:C34" xr:uid="{429B43BA-882E-4954-AFB9-EEF852EDFD9A}">
      <formula1>"正常,クライアントエラー,サーバーエラー"</formula1>
    </dataValidation>
    <dataValidation type="list" allowBlank="1" showInputMessage="1" showErrorMessage="1" sqref="I9:I34" xr:uid="{F12A6E13-8959-4B67-A7AA-9E48E3589AC3}">
      <formula1>"Selenium:○,Seleniumu:△,Selenium:×,JUnit:○,JUnit:△,Junit:×,手動実行,机上"</formula1>
    </dataValidation>
  </dataValidations>
  <hyperlinks>
    <hyperlink ref="A2" location="大中項目!A1" display="目次へ" xr:uid="{092B6B4A-2E66-4DFA-B4EC-4765095BA943}"/>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21970-B9E7-4A88-8C9E-3B8636DDBC85}">
  <sheetPr>
    <pageSetUpPr fitToPage="1"/>
  </sheetPr>
  <dimension ref="A1:J13"/>
  <sheetViews>
    <sheetView showGridLines="0" zoomScale="85" zoomScaleNormal="85" workbookViewId="0">
      <pane ySplit="8" topLeftCell="A9" activePane="bottomLeft" state="frozen"/>
      <selection activeCell="D20" sqref="D20"/>
      <selection pane="bottomLeft" activeCell="A9" sqref="A9"/>
    </sheetView>
  </sheetViews>
  <sheetFormatPr defaultRowHeight="13.5" x14ac:dyDescent="0.15"/>
  <cols>
    <col min="1" max="1" width="11.25" customWidth="1"/>
    <col min="2" max="2" width="8.625" customWidth="1"/>
    <col min="3" max="3" width="10.375" customWidth="1"/>
    <col min="4" max="4" width="25.125" customWidth="1"/>
    <col min="5" max="5" width="42.75" customWidth="1"/>
    <col min="6" max="6" width="45.125" customWidth="1"/>
    <col min="7" max="7" width="29.625" customWidth="1"/>
    <col min="8" max="8" width="45.125" customWidth="1"/>
    <col min="9" max="9" width="16.75" customWidth="1"/>
    <col min="10" max="10" width="31.875" customWidth="1"/>
  </cols>
  <sheetData>
    <row r="1" spans="1:10" ht="27" x14ac:dyDescent="0.15">
      <c r="A1" s="51" t="s">
        <v>6</v>
      </c>
      <c r="B1" s="52"/>
      <c r="C1" s="6" t="s">
        <v>7</v>
      </c>
      <c r="D1" s="6" t="s">
        <v>8</v>
      </c>
      <c r="E1" s="6" t="s">
        <v>9</v>
      </c>
      <c r="F1" s="6" t="s">
        <v>10</v>
      </c>
      <c r="G1" s="6" t="s">
        <v>11</v>
      </c>
      <c r="H1" s="7" t="s">
        <v>12</v>
      </c>
    </row>
    <row r="2" spans="1:10" x14ac:dyDescent="0.15">
      <c r="A2" s="53" t="s">
        <v>19</v>
      </c>
      <c r="B2" s="54"/>
      <c r="C2" s="57">
        <f ca="1">COUNTIFS($B$9:$B$65495,"&lt;&gt;",$J$9:$J$65495,"&lt;&gt;論理削除")</f>
        <v>5</v>
      </c>
      <c r="D2" s="18" t="str">
        <f>大中項目!B1</f>
        <v>OTH2</v>
      </c>
      <c r="E2" s="18" t="str" cm="1">
        <f t="array" aca="1" ref="E2" ca="1">MID(CELL("filename", A1), FIND("]", CELL("filename", A1)) + 1, 255)</f>
        <v>OTH202</v>
      </c>
      <c r="F2" s="9"/>
      <c r="G2" s="9"/>
      <c r="H2" s="8"/>
    </row>
    <row r="3" spans="1:10" x14ac:dyDescent="0.15">
      <c r="A3" s="55"/>
      <c r="B3" s="56"/>
      <c r="C3" s="58"/>
      <c r="D3" s="18" t="str">
        <f>大中項目!B2</f>
        <v>OAuth2.0</v>
      </c>
      <c r="E3" s="18" t="str">
        <f ca="1">INDEX(大中項目!B:B, MATCH(E2, 大中項目!A:A, 0))</f>
        <v>アクセストークン</v>
      </c>
      <c r="F3" s="9"/>
      <c r="G3" s="9"/>
      <c r="H3" s="9"/>
    </row>
    <row r="4" spans="1:10" x14ac:dyDescent="0.15">
      <c r="A4" s="10"/>
      <c r="B4" s="10"/>
      <c r="C4" s="10"/>
      <c r="D4" s="10"/>
      <c r="E4" s="10"/>
      <c r="F4" s="10"/>
      <c r="G4" s="10"/>
      <c r="H4" s="10"/>
      <c r="I4" s="10"/>
    </row>
    <row r="5" spans="1:10" x14ac:dyDescent="0.15">
      <c r="A5" s="59" t="s">
        <v>13</v>
      </c>
      <c r="B5" s="60"/>
      <c r="C5" s="60"/>
      <c r="D5" s="60"/>
      <c r="E5" s="60"/>
      <c r="F5" s="60"/>
      <c r="G5" s="60"/>
      <c r="H5" s="60"/>
      <c r="I5" s="61"/>
    </row>
    <row r="6" spans="1:10" ht="201.75" customHeight="1" x14ac:dyDescent="0.15">
      <c r="A6" s="62" t="s">
        <v>172</v>
      </c>
      <c r="B6" s="63"/>
      <c r="C6" s="63"/>
      <c r="D6" s="63"/>
      <c r="E6" s="63"/>
      <c r="F6" s="63"/>
      <c r="G6" s="63"/>
      <c r="H6" s="63"/>
      <c r="I6" s="64"/>
    </row>
    <row r="7" spans="1:10" x14ac:dyDescent="0.15">
      <c r="A7" s="10"/>
      <c r="B7" s="10"/>
      <c r="C7" s="10"/>
      <c r="D7" s="10"/>
      <c r="E7" s="10"/>
      <c r="F7" s="10"/>
      <c r="G7" s="10"/>
      <c r="H7" s="10"/>
      <c r="I7" s="10"/>
    </row>
    <row r="8" spans="1:10" ht="27" x14ac:dyDescent="0.15">
      <c r="A8" s="6" t="s">
        <v>4</v>
      </c>
      <c r="B8" s="7" t="s">
        <v>20</v>
      </c>
      <c r="C8" s="6" t="s">
        <v>14</v>
      </c>
      <c r="D8" s="6" t="s">
        <v>15</v>
      </c>
      <c r="E8" s="6" t="s">
        <v>16</v>
      </c>
      <c r="F8" s="7" t="s">
        <v>21</v>
      </c>
      <c r="G8" s="7" t="s">
        <v>22</v>
      </c>
      <c r="H8" s="6" t="s">
        <v>17</v>
      </c>
      <c r="I8" s="6" t="s">
        <v>18</v>
      </c>
    </row>
    <row r="9" spans="1:10" ht="67.5" x14ac:dyDescent="0.15">
      <c r="A9" s="11" t="s">
        <v>184</v>
      </c>
      <c r="B9" s="17">
        <f ca="1">IF(A9&lt;&gt;"",1,INDIRECT(ADDRESS(ROW(B9)-1,COLUMN(B9),4))+1)</f>
        <v>1</v>
      </c>
      <c r="C9" s="46" t="s">
        <v>23</v>
      </c>
      <c r="D9" s="47" t="s">
        <v>173</v>
      </c>
      <c r="E9" s="47" t="s">
        <v>174</v>
      </c>
      <c r="F9" s="47" t="s">
        <v>88</v>
      </c>
      <c r="G9" s="47" t="s">
        <v>175</v>
      </c>
      <c r="H9" s="47" t="s">
        <v>176</v>
      </c>
      <c r="I9" s="48" t="s">
        <v>29</v>
      </c>
      <c r="J9" s="34"/>
    </row>
    <row r="10" spans="1:10" ht="135" customHeight="1" x14ac:dyDescent="0.15">
      <c r="A10" s="11"/>
      <c r="B10" s="17">
        <f t="shared" ref="B10:B13" ca="1" si="0">IF(A10&lt;&gt;"",1,INDIRECT(ADDRESS(ROW(B10)-1,COLUMN(B10),4))+1)</f>
        <v>2</v>
      </c>
      <c r="C10" s="43" t="s">
        <v>23</v>
      </c>
      <c r="D10" s="44" t="s">
        <v>177</v>
      </c>
      <c r="E10" s="44" t="s">
        <v>174</v>
      </c>
      <c r="F10" s="44" t="s">
        <v>88</v>
      </c>
      <c r="G10" s="44" t="s">
        <v>178</v>
      </c>
      <c r="H10" s="44" t="s">
        <v>219</v>
      </c>
      <c r="I10" s="45" t="s">
        <v>29</v>
      </c>
      <c r="J10" s="35"/>
    </row>
    <row r="11" spans="1:10" ht="67.5" x14ac:dyDescent="0.15">
      <c r="A11" s="15"/>
      <c r="B11" s="17">
        <f t="shared" ca="1" si="0"/>
        <v>3</v>
      </c>
      <c r="C11" s="12" t="s">
        <v>23</v>
      </c>
      <c r="D11" s="13" t="s">
        <v>180</v>
      </c>
      <c r="E11" s="13" t="s">
        <v>174</v>
      </c>
      <c r="F11" s="13" t="s">
        <v>88</v>
      </c>
      <c r="G11" s="13" t="s">
        <v>179</v>
      </c>
      <c r="H11" s="13" t="s">
        <v>182</v>
      </c>
      <c r="I11" s="14" t="s">
        <v>29</v>
      </c>
      <c r="J11" s="34"/>
    </row>
    <row r="12" spans="1:10" ht="81" x14ac:dyDescent="0.15">
      <c r="A12" s="15"/>
      <c r="B12" s="17">
        <f t="shared" ca="1" si="0"/>
        <v>4</v>
      </c>
      <c r="C12" s="43" t="s">
        <v>23</v>
      </c>
      <c r="D12" s="44" t="s">
        <v>181</v>
      </c>
      <c r="E12" s="44" t="s">
        <v>174</v>
      </c>
      <c r="F12" s="44" t="s">
        <v>88</v>
      </c>
      <c r="G12" s="44" t="s">
        <v>183</v>
      </c>
      <c r="H12" s="44" t="s">
        <v>218</v>
      </c>
      <c r="I12" s="45" t="s">
        <v>29</v>
      </c>
      <c r="J12" s="35"/>
    </row>
    <row r="13" spans="1:10" ht="67.5" x14ac:dyDescent="0.15">
      <c r="A13" s="24" t="s">
        <v>184</v>
      </c>
      <c r="B13" s="19">
        <f t="shared" ca="1" si="0"/>
        <v>1</v>
      </c>
      <c r="C13" s="12" t="s">
        <v>30</v>
      </c>
      <c r="D13" s="13" t="s">
        <v>185</v>
      </c>
      <c r="E13" s="13" t="s">
        <v>186</v>
      </c>
      <c r="F13" s="13" t="s">
        <v>88</v>
      </c>
      <c r="G13" s="13" t="s">
        <v>187</v>
      </c>
      <c r="H13" s="13" t="s">
        <v>188</v>
      </c>
      <c r="I13" s="14" t="s">
        <v>29</v>
      </c>
    </row>
  </sheetData>
  <mergeCells count="5">
    <mergeCell ref="A1:B1"/>
    <mergeCell ref="A2:B3"/>
    <mergeCell ref="C2:C3"/>
    <mergeCell ref="A5:I5"/>
    <mergeCell ref="A6:I6"/>
  </mergeCells>
  <phoneticPr fontId="4"/>
  <conditionalFormatting sqref="B9:B13">
    <cfRule type="expression" dxfId="1" priority="6">
      <formula>B9&lt;&gt;""</formula>
    </cfRule>
  </conditionalFormatting>
  <dataValidations count="2">
    <dataValidation type="list" allowBlank="1" showInputMessage="1" showErrorMessage="1" sqref="I9:I13" xr:uid="{4520CA82-1A25-4759-960F-F686C9710EE6}">
      <formula1>"Selenium:○,Seleniumu:△,Selenium:×,JUnit:○,JUnit:△,Junit:×,手動実行,机上"</formula1>
    </dataValidation>
    <dataValidation type="list" allowBlank="1" showInputMessage="1" showErrorMessage="1" sqref="C9:C13" xr:uid="{B3BD727C-C83B-45B8-A04C-6D73A16CC0E5}">
      <formula1>"正常,クライアントエラー,サーバーエラー"</formula1>
    </dataValidation>
  </dataValidations>
  <hyperlinks>
    <hyperlink ref="A2" location="大中項目!A1" display="目次へ" xr:uid="{39630CC3-D463-49AE-BE7F-B6F17E1C51AF}"/>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3"/>
  <sheetViews>
    <sheetView showGridLines="0" zoomScale="85" zoomScaleNormal="85" workbookViewId="0">
      <pane ySplit="8" topLeftCell="A9" activePane="bottomLeft" state="frozen"/>
      <selection activeCell="D20" sqref="D20"/>
      <selection pane="bottomLeft" activeCell="A9" sqref="A9"/>
    </sheetView>
  </sheetViews>
  <sheetFormatPr defaultRowHeight="13.5" x14ac:dyDescent="0.15"/>
  <cols>
    <col min="1" max="1" width="11.25" customWidth="1"/>
    <col min="2" max="2" width="8.625" customWidth="1"/>
    <col min="3" max="3" width="10.375" customWidth="1"/>
    <col min="4" max="4" width="25.125" customWidth="1"/>
    <col min="5" max="5" width="42.75" customWidth="1"/>
    <col min="6" max="6" width="45.125" customWidth="1"/>
    <col min="7" max="7" width="29.625" customWidth="1"/>
    <col min="8" max="8" width="45.125" customWidth="1"/>
    <col min="9" max="9" width="16.75" customWidth="1"/>
    <col min="10" max="10" width="31.875" customWidth="1"/>
  </cols>
  <sheetData>
    <row r="1" spans="1:9" ht="27" x14ac:dyDescent="0.15">
      <c r="A1" s="51" t="s">
        <v>6</v>
      </c>
      <c r="B1" s="52"/>
      <c r="C1" s="6" t="s">
        <v>7</v>
      </c>
      <c r="D1" s="6" t="s">
        <v>8</v>
      </c>
      <c r="E1" s="6" t="s">
        <v>9</v>
      </c>
      <c r="F1" s="6" t="s">
        <v>10</v>
      </c>
      <c r="G1" s="6" t="s">
        <v>11</v>
      </c>
      <c r="H1" s="7" t="s">
        <v>12</v>
      </c>
    </row>
    <row r="2" spans="1:9" x14ac:dyDescent="0.15">
      <c r="A2" s="53" t="s">
        <v>19</v>
      </c>
      <c r="B2" s="54"/>
      <c r="C2" s="57">
        <f ca="1">COUNTIFS($B$9:$B$65495,"&lt;&gt;",$J$9:$J$65495,"&lt;&gt;論理削除")</f>
        <v>5</v>
      </c>
      <c r="D2" s="18" t="str">
        <f>大中項目!B1</f>
        <v>OTH2</v>
      </c>
      <c r="E2" s="18" t="str" cm="1">
        <f t="array" aca="1" ref="E2" ca="1">MID(CELL("filename", A1), FIND("]", CELL("filename", A1)) + 1, 255)</f>
        <v>OTH203</v>
      </c>
      <c r="F2" s="9"/>
      <c r="G2" s="9"/>
      <c r="H2" s="8"/>
    </row>
    <row r="3" spans="1:9" x14ac:dyDescent="0.15">
      <c r="A3" s="55"/>
      <c r="B3" s="56"/>
      <c r="C3" s="58"/>
      <c r="D3" s="18" t="str">
        <f>大中項目!B2</f>
        <v>OAuth2.0</v>
      </c>
      <c r="E3" s="18" t="str">
        <f ca="1">INDEX(大中項目!B:B, MATCH(E2, 大中項目!A:A, 0))</f>
        <v>その他異常系</v>
      </c>
      <c r="F3" s="9"/>
      <c r="G3" s="9"/>
      <c r="H3" s="9"/>
    </row>
    <row r="4" spans="1:9" x14ac:dyDescent="0.15">
      <c r="A4" s="10"/>
      <c r="B4" s="10"/>
      <c r="C4" s="10"/>
      <c r="D4" s="10"/>
      <c r="E4" s="10"/>
      <c r="F4" s="10"/>
      <c r="G4" s="10"/>
      <c r="H4" s="10"/>
      <c r="I4" s="10"/>
    </row>
    <row r="5" spans="1:9" x14ac:dyDescent="0.15">
      <c r="A5" s="59" t="s">
        <v>13</v>
      </c>
      <c r="B5" s="60"/>
      <c r="C5" s="60"/>
      <c r="D5" s="60"/>
      <c r="E5" s="60"/>
      <c r="F5" s="60"/>
      <c r="G5" s="60"/>
      <c r="H5" s="60"/>
      <c r="I5" s="61"/>
    </row>
    <row r="6" spans="1:9" ht="201.75" customHeight="1" x14ac:dyDescent="0.15">
      <c r="A6" s="62" t="s">
        <v>195</v>
      </c>
      <c r="B6" s="63"/>
      <c r="C6" s="63"/>
      <c r="D6" s="63"/>
      <c r="E6" s="63"/>
      <c r="F6" s="63"/>
      <c r="G6" s="63"/>
      <c r="H6" s="63"/>
      <c r="I6" s="64"/>
    </row>
    <row r="7" spans="1:9" x14ac:dyDescent="0.15">
      <c r="A7" s="10"/>
      <c r="B7" s="10"/>
      <c r="C7" s="10"/>
      <c r="D7" s="10"/>
      <c r="E7" s="10"/>
      <c r="F7" s="10"/>
      <c r="G7" s="10"/>
      <c r="H7" s="10"/>
      <c r="I7" s="10"/>
    </row>
    <row r="8" spans="1:9" ht="27" x14ac:dyDescent="0.15">
      <c r="A8" s="6" t="s">
        <v>4</v>
      </c>
      <c r="B8" s="7" t="s">
        <v>20</v>
      </c>
      <c r="C8" s="6" t="s">
        <v>14</v>
      </c>
      <c r="D8" s="6" t="s">
        <v>15</v>
      </c>
      <c r="E8" s="6" t="s">
        <v>16</v>
      </c>
      <c r="F8" s="7" t="s">
        <v>21</v>
      </c>
      <c r="G8" s="7" t="s">
        <v>22</v>
      </c>
      <c r="H8" s="6" t="s">
        <v>17</v>
      </c>
      <c r="I8" s="6" t="s">
        <v>18</v>
      </c>
    </row>
    <row r="9" spans="1:9" ht="67.5" x14ac:dyDescent="0.15">
      <c r="A9" s="11" t="s">
        <v>199</v>
      </c>
      <c r="B9" s="24">
        <f ca="1">IF(A9&lt;&gt;"",1,INDIRECT(ADDRESS(ROW(B9)-1,COLUMN(B9),4))+1)</f>
        <v>1</v>
      </c>
      <c r="C9" s="12" t="s">
        <v>148</v>
      </c>
      <c r="D9" s="13" t="s">
        <v>196</v>
      </c>
      <c r="E9" s="13" t="s">
        <v>202</v>
      </c>
      <c r="F9" s="13" t="s">
        <v>88</v>
      </c>
      <c r="G9" s="13" t="s">
        <v>203</v>
      </c>
      <c r="H9" s="13" t="s">
        <v>204</v>
      </c>
      <c r="I9" s="14" t="s">
        <v>29</v>
      </c>
    </row>
    <row r="10" spans="1:9" ht="67.5" x14ac:dyDescent="0.15">
      <c r="A10" s="36"/>
      <c r="B10" s="24">
        <f t="shared" ref="B10" ca="1" si="0">IF(A10&lt;&gt;"",1,INDIRECT(ADDRESS(ROW(B10)-1,COLUMN(B10),4))+1)</f>
        <v>2</v>
      </c>
      <c r="C10" s="12" t="s">
        <v>30</v>
      </c>
      <c r="D10" s="13" t="s">
        <v>197</v>
      </c>
      <c r="E10" s="13" t="s">
        <v>205</v>
      </c>
      <c r="F10" s="13" t="s">
        <v>88</v>
      </c>
      <c r="G10" s="13" t="s">
        <v>203</v>
      </c>
      <c r="H10" s="13" t="s">
        <v>207</v>
      </c>
      <c r="I10" s="14" t="s">
        <v>29</v>
      </c>
    </row>
    <row r="11" spans="1:9" ht="67.5" x14ac:dyDescent="0.15">
      <c r="A11" s="29"/>
      <c r="B11" s="24">
        <f t="shared" ref="B11:B13" ca="1" si="1">IF(A11&lt;&gt;"",1,INDIRECT(ADDRESS(ROW(B11)-1,COLUMN(B11),4))+1)</f>
        <v>3</v>
      </c>
      <c r="C11" s="12" t="s">
        <v>30</v>
      </c>
      <c r="D11" s="13" t="s">
        <v>198</v>
      </c>
      <c r="E11" s="13" t="s">
        <v>206</v>
      </c>
      <c r="F11" s="13" t="s">
        <v>88</v>
      </c>
      <c r="G11" s="13" t="s">
        <v>210</v>
      </c>
      <c r="H11" s="13" t="s">
        <v>207</v>
      </c>
      <c r="I11" s="14" t="s">
        <v>29</v>
      </c>
    </row>
    <row r="12" spans="1:9" ht="81" x14ac:dyDescent="0.15">
      <c r="A12" s="11" t="s">
        <v>200</v>
      </c>
      <c r="B12" s="24">
        <f t="shared" ca="1" si="1"/>
        <v>1</v>
      </c>
      <c r="C12" s="12" t="s">
        <v>30</v>
      </c>
      <c r="D12" s="13" t="s">
        <v>208</v>
      </c>
      <c r="E12" s="13" t="s">
        <v>209</v>
      </c>
      <c r="F12" s="13" t="s">
        <v>88</v>
      </c>
      <c r="G12" s="13" t="s">
        <v>31</v>
      </c>
      <c r="H12" s="13" t="s">
        <v>211</v>
      </c>
      <c r="I12" s="14" t="s">
        <v>29</v>
      </c>
    </row>
    <row r="13" spans="1:9" ht="27" x14ac:dyDescent="0.15">
      <c r="A13" s="24" t="s">
        <v>201</v>
      </c>
      <c r="B13" s="24">
        <f t="shared" ca="1" si="1"/>
        <v>1</v>
      </c>
      <c r="C13" s="12" t="s">
        <v>23</v>
      </c>
      <c r="D13" s="13" t="s">
        <v>194</v>
      </c>
      <c r="E13" s="13" t="s">
        <v>213</v>
      </c>
      <c r="F13" s="13" t="s">
        <v>214</v>
      </c>
      <c r="G13" s="13" t="s">
        <v>215</v>
      </c>
      <c r="H13" s="13" t="s">
        <v>212</v>
      </c>
      <c r="I13" s="14" t="s">
        <v>29</v>
      </c>
    </row>
  </sheetData>
  <mergeCells count="5">
    <mergeCell ref="A1:B1"/>
    <mergeCell ref="A2:B3"/>
    <mergeCell ref="C2:C3"/>
    <mergeCell ref="A5:I5"/>
    <mergeCell ref="A6:I6"/>
  </mergeCells>
  <phoneticPr fontId="4"/>
  <conditionalFormatting sqref="B9:B13">
    <cfRule type="expression" dxfId="0" priority="67">
      <formula>B9&lt;&gt;""</formula>
    </cfRule>
  </conditionalFormatting>
  <dataValidations count="2">
    <dataValidation type="list" allowBlank="1" showInputMessage="1" showErrorMessage="1" sqref="C9:C13" xr:uid="{00000000-0002-0000-0500-000000000000}">
      <formula1>"正常,クライアントエラー,サーバーエラー"</formula1>
    </dataValidation>
    <dataValidation type="list" allowBlank="1" showInputMessage="1" showErrorMessage="1" sqref="I9:I13" xr:uid="{00000000-0002-0000-0500-000001000000}">
      <formula1>"Selenium:○,Seleniumu:△,Selenium:×,JUnit:○,JUnit:△,Junit:×,手動実行,机上"</formula1>
    </dataValidation>
  </dataValidations>
  <hyperlinks>
    <hyperlink ref="A2" location="大中項目!A1" display="目次へ" xr:uid="{00000000-0004-0000-05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大中項目</vt:lpstr>
      <vt:lpstr>認可サーバーの設定について</vt:lpstr>
      <vt:lpstr>OTH201</vt:lpstr>
      <vt:lpstr>OTH202</vt:lpstr>
      <vt:lpstr>OTH203</vt:lpstr>
      <vt:lpstr>'OTH201'!Print_Titles</vt:lpstr>
      <vt:lpstr>'OTH202'!Print_Titles</vt:lpstr>
      <vt:lpstr>'OTH203'!Print_Titles</vt:lpstr>
      <vt:lpstr>大中項目!Print_Titles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TIG 加藤 文雄/Kato, Fumio (NTT DATA)</cp:lastModifiedBy>
  <cp:lastPrinted>2013-11-12T01:02:24Z</cp:lastPrinted>
  <dcterms:created xsi:type="dcterms:W3CDTF">2013-11-07T11:05:46Z</dcterms:created>
  <dcterms:modified xsi:type="dcterms:W3CDTF">2024-10-17T07:02:16Z</dcterms:modified>
</cp:coreProperties>
</file>